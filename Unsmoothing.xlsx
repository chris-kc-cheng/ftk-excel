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111\Dev\ftk-excel\"/>
    </mc:Choice>
  </mc:AlternateContent>
  <xr:revisionPtr revIDLastSave="0" documentId="13_ncr:1_{B40AD125-3098-4636-9BE3-09D4B5DA550D}" xr6:coauthVersionLast="47" xr6:coauthVersionMax="47" xr10:uidLastSave="{00000000-0000-0000-0000-000000000000}"/>
  <bookViews>
    <workbookView xWindow="-108" yWindow="-108" windowWidth="41496" windowHeight="16776" xr2:uid="{33B86A54-F699-4A69-991F-5C59CF7B3663}"/>
  </bookViews>
  <sheets>
    <sheet name="Unsmooth" sheetId="1" r:id="rId1"/>
  </sheets>
  <definedNames>
    <definedName name="P_Smoothed">OFFSET(Unsmooth!$B$14,0,0,1,COUNT(Unsmooth!$14:$14))</definedName>
    <definedName name="P_True">OFFSET(Unsmooth!$B$13,0,0,1,COUNT(Unsmooth!$13:$13))</definedName>
    <definedName name="P_Unsmoothed">OFFSET(Unsmooth!$B$15,0,0,1,COUNT(Unsmooth!$15:$15)+1)</definedName>
    <definedName name="Time">OFFSET(Unsmooth!$B$5,0,0,1,COUNT(Unsmooth!$5:$5))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 a="1"/>
  <c r="A8" i="1" l="1"/>
  <c r="C13" i="1" s="1" a="1"/>
  <c r="C13" i="1" l="1"/>
  <c r="B14" i="1" s="1" a="1"/>
  <c r="C15" i="1" l="1"/>
  <c r="B14" i="1"/>
  <c r="B5" i="1" s="1" a="1"/>
  <c r="B5" i="1" l="1"/>
  <c r="C9" i="1" a="1"/>
  <c r="C9" i="1" l="1"/>
  <c r="B3" i="1" l="1"/>
  <c r="D10" i="1" s="1" a="1"/>
  <c r="D10" i="1" l="1"/>
  <c r="D15" i="1" s="1" a="1"/>
  <c r="D1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<sst xmlns="http://schemas.openxmlformats.org/spreadsheetml/2006/main" count="9" uniqueCount="9">
  <si>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Smoothed</t>
  </si>
  <si>
    <t>Unsmoothed</t>
  </si>
  <si>
    <t>Decay</t>
  </si>
  <si>
    <t>Price</t>
  </si>
  <si>
    <t>True</t>
  </si>
  <si>
    <t>Return</t>
  </si>
  <si>
    <t>Autocorrelation</t>
  </si>
  <si>
    <t>Unsmoothing Returns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</si>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</sst>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65" fontId="0" fillId="0" borderId="0" xfId="1" quotePrefix="1" applyNumberFormat="1" applyFont="1"/>
    <xf numFmtId="0" fontId="2" fillId="0" borderId="0" xfId="0" applyFont="1"/>
    <xf numFmtId="2" fontId="0" fillId="0" borderId="0" xfId="0" applyNumberFormat="1"/>
    <xf numFmtId="164" fontId="0" fillId="2" borderId="0" xfId="1" applyNumberFormat="1" applyFont="1" applyFill="1"/>
    <xf numFmtId="2" fontId="0" fillId="2" borderId="0" xfId="0" applyNumberFormat="1" applyFill="1"/>
    <xf numFmtId="164" fontId="0" fillId="0" borderId="0" xfId="1" quotePrefix="1" applyNumberFormat="1" applyFont="1" applyFill="1"/>
    <xf numFmtId="164" fontId="0" fillId="0" borderId="0" xfId="1" applyNumberFormat="1" applyFont="1" applyFill="1"/>
    <xf numFmtId="0" fontId="3" fillId="0" borderId="0" xfId="0" applyFont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80B4A131-65E2-49EF-B7DF-06E3F95448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Unsmooth!$A$13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[0]!Time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[0]!P_True</c:f>
              <c:numCache>
                <c:formatCode>0.0</c:formatCode>
                <c:ptCount val="13"/>
                <c:pt idx="0">
                  <c:v>100</c:v>
                </c:pt>
                <c:pt idx="1">
                  <c:v>102</c:v>
                </c:pt>
                <c:pt idx="2">
                  <c:v>107.10000000000001</c:v>
                </c:pt>
                <c:pt idx="3">
                  <c:v>85.68</c:v>
                </c:pt>
                <c:pt idx="4">
                  <c:v>77.112000000000009</c:v>
                </c:pt>
                <c:pt idx="5">
                  <c:v>88.67880000000001</c:v>
                </c:pt>
                <c:pt idx="6">
                  <c:v>110.84850000000002</c:v>
                </c:pt>
                <c:pt idx="7">
                  <c:v>140.77759500000002</c:v>
                </c:pt>
                <c:pt idx="8">
                  <c:v>119.66095575000001</c:v>
                </c:pt>
                <c:pt idx="9">
                  <c:v>113.6779079625</c:v>
                </c:pt>
                <c:pt idx="10">
                  <c:v>125.04569875875001</c:v>
                </c:pt>
                <c:pt idx="11">
                  <c:v>140.05118260980001</c:v>
                </c:pt>
                <c:pt idx="12">
                  <c:v>105.03838695735001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8D-409E-BBDF-6C43D6DB026F}"/>
            </c:ext>
          </c:extLst>
        </c:ser>
        <c:ser>
          <c:idx val="1"/>
          <c:order val="1"/>
          <c:tx>
            <c:strRef>
              <c:f>Unsmooth!$A$14</c:f>
              <c:strCache>
                <c:ptCount val="1"/>
                <c:pt idx="0">
                  <c:v>Smoothed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[0]!Time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[0]!P_Smoothed</c:f>
              <c:numCache>
                <c:formatCode>0.0</c:formatCode>
                <c:ptCount val="13"/>
                <c:pt idx="0">
                  <c:v>100</c:v>
                </c:pt>
                <c:pt idx="1">
                  <c:v>100.80000000000001</c:v>
                </c:pt>
                <c:pt idx="2">
                  <c:v>103.32000000000001</c:v>
                </c:pt>
                <c:pt idx="3">
                  <c:v>96.26400000000001</c:v>
                </c:pt>
                <c:pt idx="4">
                  <c:v>88.603200000000015</c:v>
                </c:pt>
                <c:pt idx="5">
                  <c:v>88.633440000000007</c:v>
                </c:pt>
                <c:pt idx="6">
                  <c:v>97.519464000000013</c:v>
                </c:pt>
                <c:pt idx="7">
                  <c:v>114.82271640000002</c:v>
                </c:pt>
                <c:pt idx="8">
                  <c:v>116.75801214000001</c:v>
                </c:pt>
                <c:pt idx="9">
                  <c:v>115.52597046900001</c:v>
                </c:pt>
                <c:pt idx="10">
                  <c:v>119.33386178490002</c:v>
                </c:pt>
                <c:pt idx="11">
                  <c:v>127.62079011486001</c:v>
                </c:pt>
                <c:pt idx="12">
                  <c:v>118.58782885185602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8D-409E-BBDF-6C43D6DB026F}"/>
            </c:ext>
          </c:extLst>
        </c:ser>
        <c:ser>
          <c:idx val="2"/>
          <c:order val="2"/>
          <c:tx>
            <c:strRef>
              <c:f>Unsmooth!$A$15</c:f>
              <c:strCache>
                <c:ptCount val="1"/>
                <c:pt idx="0">
                  <c:v>Unsmoothed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[0]!Time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[0]!P_Unsmoothed</c:f>
              <c:numCache>
                <c:formatCode>0.0</c:formatCode>
                <c:ptCount val="13"/>
                <c:pt idx="1">
                  <c:v>100.80000000000001</c:v>
                </c:pt>
                <c:pt idx="2">
                  <c:v>104.56008172862228</c:v>
                </c:pt>
                <c:pt idx="3">
                  <c:v>90.360211660280598</c:v>
                </c:pt>
                <c:pt idx="4">
                  <c:v>82.431077469522819</c:v>
                </c:pt>
                <c:pt idx="5">
                  <c:v>87.226819753081813</c:v>
                </c:pt>
                <c:pt idx="6">
                  <c:v>102.27877774203452</c:v>
                </c:pt>
                <c:pt idx="7">
                  <c:v>126.13890665752774</c:v>
                </c:pt>
                <c:pt idx="8">
                  <c:v>113.60678187104207</c:v>
                </c:pt>
                <c:pt idx="9">
                  <c:v>110.1547782632494</c:v>
                </c:pt>
                <c:pt idx="10">
                  <c:v>117.25433482750979</c:v>
                </c:pt>
                <c:pt idx="11">
                  <c:v>128.49246943635001</c:v>
                </c:pt>
                <c:pt idx="12">
                  <c:v>106.35901299105205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8D-409E-BBDF-6C43D6DB0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0336255"/>
        <c:axId val="1630338175"/>
      </c:lineChart>
      <c:catAx>
        <c:axId val="163033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338175"/>
        <c:crosses val="autoZero"/>
        <c:auto val="1"/>
        <c:lblAlgn val="ctr"/>
        <c:lblOffset val="100"/>
        <c:noMultiLvlLbl val="0"/>
      </c:catAx>
      <c:valAx>
        <c:axId val="163033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336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5FAE89-94C3-5D19-86C1-1B6D9B17A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1D19-0528-4CDA-95D2-1EF744094B20}">
  <dimension ref="A1:N16"/>
  <sheetViews>
    <sheetView tabSelected="1" workbookViewId="0">
      <selection activeCell="B2" sqref="B2"/>
    </sheetView>
  </sheetViews>
  <sheetFormatPr defaultRowHeight="14.4" x14ac:dyDescent="0.3"/>
  <cols>
    <col min="1" max="1" width="13.5546875" bestFit="1" customWidth="1"/>
    <col min="2" max="3" width="9.109375" bestFit="1" customWidth="1"/>
  </cols>
  <sheetData>
    <row r="1" spans="1:14" s="11" customFormat="1" ht="18" x14ac:dyDescent="0.35">
      <c r="A1" s="10" t="s">
        <v>7</v>
      </c>
    </row>
    <row r="2" spans="1:14" x14ac:dyDescent="0.3">
      <c r="A2" t="s">
        <v>2</v>
      </c>
      <c r="B2" s="7">
        <v>0.4</v>
      </c>
    </row>
    <row r="3" spans="1:14" x14ac:dyDescent="0.3">
      <c r="A3" t="s">
        <v>6</v>
      </c>
      <c r="B3" s="5">
        <f ca="1">CORREL(D9:J9,C9:I9)</f>
        <v>0.41984270566643095</v>
      </c>
    </row>
    <row r="5" spans="1:14" x14ac:dyDescent="0.3">
      <c r="A5" s="4" t="s">
        <v>8</v>
      </c>
      <c r="B5" cm="1">
        <f t="array" aca="1" ref="B5:N5" ca="1">_xlfn.SEQUENCE(1,COUNT(_xlfn.ANCHORARRAY(B14)),0)</f>
        <v>0</v>
      </c>
      <c r="C5">
        <f ca="1"/>
        <v>1</v>
      </c>
      <c r="D5">
        <f ca="1"/>
        <v>2</v>
      </c>
      <c r="E5">
        <f ca="1"/>
        <v>3</v>
      </c>
      <c r="F5">
        <f ca="1"/>
        <v>4</v>
      </c>
      <c r="G5">
        <f ca="1"/>
        <v>5</v>
      </c>
      <c r="H5">
        <f ca="1"/>
        <v>6</v>
      </c>
      <c r="I5">
        <f ca="1"/>
        <v>7</v>
      </c>
      <c r="J5">
        <f ca="1"/>
        <v>8</v>
      </c>
      <c r="K5">
        <f ca="1"/>
        <v>9</v>
      </c>
      <c r="L5">
        <f ca="1"/>
        <v>10</v>
      </c>
      <c r="M5">
        <f ca="1"/>
        <v>11</v>
      </c>
      <c r="N5">
        <f ca="1"/>
        <v>12</v>
      </c>
    </row>
    <row r="6" spans="1:14" s="2" customFormat="1" x14ac:dyDescent="0.3"/>
    <row r="7" spans="1:14" x14ac:dyDescent="0.3">
      <c r="A7" s="4" t="s">
        <v>5</v>
      </c>
    </row>
    <row r="8" spans="1:14" s="6" customFormat="1" x14ac:dyDescent="0.3">
      <c r="A8" s="8" t="str" cm="1">
        <f t="array" ref="A8:A10">A13:A15</f>
        <v>True</v>
      </c>
      <c r="B8" s="9"/>
      <c r="C8" s="6">
        <v>0.02</v>
      </c>
      <c r="D8" s="6">
        <v>0.05</v>
      </c>
      <c r="E8" s="6">
        <v>-0.2</v>
      </c>
      <c r="F8" s="6">
        <v>-0.1</v>
      </c>
      <c r="G8" s="6">
        <v>0.15</v>
      </c>
      <c r="H8" s="6">
        <v>0.25</v>
      </c>
      <c r="I8" s="6">
        <v>0.27</v>
      </c>
      <c r="J8" s="6">
        <v>-0.15</v>
      </c>
      <c r="K8" s="6">
        <v>-0.05</v>
      </c>
      <c r="L8" s="6">
        <v>0.1</v>
      </c>
      <c r="M8" s="6">
        <v>0.12</v>
      </c>
      <c r="N8" s="6">
        <v>-0.25</v>
      </c>
    </row>
    <row r="9" spans="1:14" s="1" customFormat="1" x14ac:dyDescent="0.3">
      <c r="A9" s="2" t="str">
        <v>Smoothed</v>
      </c>
      <c r="C9" s="1" cm="1">
        <f t="array" aca="1" ref="C9:N9" ca="1">_xlfn.DROP(_xlfn.ANCHORARRAY(B14),,1)/_xlfn.DROP(_xlfn.ANCHORARRAY(B14),,-1)-1</f>
        <v>8.0000000000000071E-3</v>
      </c>
      <c r="D9" s="1">
        <f ca="1"/>
        <v>2.4999999999999911E-2</v>
      </c>
      <c r="E9" s="1">
        <f ca="1"/>
        <v>-6.8292682926829218E-2</v>
      </c>
      <c r="F9" s="1">
        <f ca="1"/>
        <v>-7.9581151832460617E-2</v>
      </c>
      <c r="G9" s="1">
        <f ca="1"/>
        <v>3.4129692832762792E-4</v>
      </c>
      <c r="H9" s="1">
        <f ca="1"/>
        <v>0.10025588536335728</v>
      </c>
      <c r="I9" s="1">
        <f ca="1"/>
        <v>0.17743383413182001</v>
      </c>
      <c r="J9" s="1">
        <f ca="1"/>
        <v>1.6854641665662529E-2</v>
      </c>
      <c r="K9" s="1">
        <f ca="1"/>
        <v>-1.05520952988023E-2</v>
      </c>
      <c r="L9" s="1">
        <f ca="1"/>
        <v>3.2961344539596871E-2</v>
      </c>
      <c r="M9" s="1">
        <f ca="1"/>
        <v>6.9443225971327571E-2</v>
      </c>
      <c r="N9" s="1">
        <f ca="1"/>
        <v>-7.0779700195197304E-2</v>
      </c>
    </row>
    <row r="10" spans="1:14" s="1" customFormat="1" x14ac:dyDescent="0.3">
      <c r="A10" s="1" t="str">
        <v>Unsmoothed</v>
      </c>
      <c r="D10" s="1" cm="1">
        <f t="array" aca="1" ref="D10:N10" ca="1">(_xlfn.DROP(_xlfn.ANCHORARRAY(C9),,1)-B3*_xlfn.DROP(_xlfn.ANCHORARRAY(C9),,-1))/(1-B3)</f>
        <v>3.7302398101411331E-2</v>
      </c>
      <c r="E10" s="1">
        <f ca="1"/>
        <v>-0.13580584323945313</v>
      </c>
      <c r="F10" s="1">
        <f ca="1"/>
        <v>-8.7750283504959573E-2</v>
      </c>
      <c r="G10" s="1">
        <f ca="1"/>
        <v>5.817881351037929E-2</v>
      </c>
      <c r="H10" s="1">
        <f ca="1"/>
        <v>0.1725611231907937</v>
      </c>
      <c r="I10" s="1">
        <f ca="1"/>
        <v>0.23328523709652405</v>
      </c>
      <c r="J10" s="1">
        <f ca="1"/>
        <v>-9.9351779070916621E-2</v>
      </c>
      <c r="K10" s="1">
        <f ca="1"/>
        <v>-3.0385541698656187E-2</v>
      </c>
      <c r="L10" s="1">
        <f ca="1"/>
        <v>6.4450736283938326E-2</v>
      </c>
      <c r="M10" s="1">
        <f ca="1"/>
        <v>9.5844086492600677E-2</v>
      </c>
      <c r="N10" s="1">
        <f ca="1"/>
        <v>-0.17225489199786898</v>
      </c>
    </row>
    <row r="11" spans="1:14" s="1" customFormat="1" x14ac:dyDescent="0.3"/>
    <row r="12" spans="1:14" x14ac:dyDescent="0.3">
      <c r="A12" s="4" t="s">
        <v>3</v>
      </c>
    </row>
    <row r="13" spans="1:14" s="2" customFormat="1" x14ac:dyDescent="0.3">
      <c r="A13" s="3" t="s">
        <v>4</v>
      </c>
      <c r="B13" s="2">
        <v>100</v>
      </c>
      <c r="C13" s="2" cm="1">
        <f t="array" aca="1" ref="C13:N13" ca="1">_xlfn.SCAN(B13,OFFSET(C8,0,0,1,COUNT(8:8)),_xlfn.LAMBDA(_xlpm.p,_xlpm.r,_xlpm.p*(1+_xlpm.r)))</f>
        <v>102</v>
      </c>
      <c r="D13" s="2">
        <f ca="1"/>
        <v>107.10000000000001</v>
      </c>
      <c r="E13" s="2">
        <f ca="1"/>
        <v>85.68</v>
      </c>
      <c r="F13" s="2">
        <f ca="1"/>
        <v>77.112000000000009</v>
      </c>
      <c r="G13" s="2">
        <f ca="1"/>
        <v>88.67880000000001</v>
      </c>
      <c r="H13" s="2">
        <f ca="1"/>
        <v>110.84850000000002</v>
      </c>
      <c r="I13" s="2">
        <f ca="1"/>
        <v>140.77759500000002</v>
      </c>
      <c r="J13" s="2">
        <f ca="1"/>
        <v>119.66095575000001</v>
      </c>
      <c r="K13" s="2">
        <f ca="1"/>
        <v>113.6779079625</v>
      </c>
      <c r="L13" s="2">
        <f ca="1"/>
        <v>125.04569875875001</v>
      </c>
      <c r="M13" s="2">
        <f ca="1"/>
        <v>140.05118260980001</v>
      </c>
      <c r="N13" s="2">
        <f ca="1"/>
        <v>105.03838695735001</v>
      </c>
    </row>
    <row r="14" spans="1:14" s="2" customFormat="1" x14ac:dyDescent="0.3">
      <c r="A14" s="2" t="s">
        <v>0</v>
      </c>
      <c r="B14" s="2" cm="1">
        <f t="array" aca="1" ref="B14:N14" ca="1">_xlfn.REDUCE(
    B13,_xlfn.ANCHORARRAY( C13),
    _xlfn.LAMBDA(_xlpm.a,_xlpm.p,
        _xlfn.HSTACK(_xlpm.a, B2 * _xlpm.p + (1 - B2) * _xlfn.CHOOSECOLS(_xlpm.a, -1)
        )
    )
)</f>
        <v>100</v>
      </c>
      <c r="C14" s="2">
        <f ca="1"/>
        <v>100.80000000000001</v>
      </c>
      <c r="D14" s="2">
        <f ca="1"/>
        <v>103.32000000000001</v>
      </c>
      <c r="E14" s="2">
        <f ca="1"/>
        <v>96.26400000000001</v>
      </c>
      <c r="F14" s="2">
        <f ca="1"/>
        <v>88.603200000000015</v>
      </c>
      <c r="G14" s="2">
        <f ca="1"/>
        <v>88.633440000000007</v>
      </c>
      <c r="H14" s="2">
        <f ca="1"/>
        <v>97.519464000000013</v>
      </c>
      <c r="I14" s="2">
        <f ca="1"/>
        <v>114.82271640000002</v>
      </c>
      <c r="J14" s="2">
        <f ca="1"/>
        <v>116.75801214000001</v>
      </c>
      <c r="K14" s="2">
        <f ca="1"/>
        <v>115.52597046900001</v>
      </c>
      <c r="L14" s="2">
        <f ca="1"/>
        <v>119.33386178490002</v>
      </c>
      <c r="M14" s="2">
        <f ca="1"/>
        <v>127.62079011486001</v>
      </c>
      <c r="N14" s="2">
        <f ca="1"/>
        <v>118.58782885185602</v>
      </c>
    </row>
    <row r="15" spans="1:14" s="2" customFormat="1" x14ac:dyDescent="0.3">
      <c r="A15" s="2" t="s">
        <v>1</v>
      </c>
      <c r="C15" s="2">
        <f ca="1">C14</f>
        <v>100.80000000000001</v>
      </c>
      <c r="D15" s="2" cm="1">
        <f t="array" aca="1" ref="D15:N15" ca="1">_xlfn.SCAN(C15,_xlfn.ANCHORARRAY(D10),_xlfn.LAMBDA(_xlpm.p,_xlpm.r,_xlpm.p*(1+_xlpm.r)))</f>
        <v>104.56008172862228</v>
      </c>
      <c r="E15" s="2">
        <f ca="1"/>
        <v>90.360211660280598</v>
      </c>
      <c r="F15" s="2">
        <f ca="1"/>
        <v>82.431077469522819</v>
      </c>
      <c r="G15" s="2">
        <f ca="1"/>
        <v>87.226819753081813</v>
      </c>
      <c r="H15" s="2">
        <f ca="1"/>
        <v>102.27877774203452</v>
      </c>
      <c r="I15" s="2">
        <f ca="1"/>
        <v>126.13890665752774</v>
      </c>
      <c r="J15" s="2">
        <f ca="1"/>
        <v>113.60678187104207</v>
      </c>
      <c r="K15" s="2">
        <f ca="1"/>
        <v>110.1547782632494</v>
      </c>
      <c r="L15" s="2">
        <f ca="1"/>
        <v>117.25433482750979</v>
      </c>
      <c r="M15" s="2">
        <f ca="1"/>
        <v>128.49246943635001</v>
      </c>
      <c r="N15" s="2">
        <f ca="1"/>
        <v>106.35901299105205</v>
      </c>
    </row>
    <row r="16" spans="1:14" s="1" customForma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Unsmooth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Cheung Cheng</dc:creator>
  <cp:lastModifiedBy>Kai Cheung Cheng</cp:lastModifiedBy>
  <dcterms:created xsi:type="dcterms:W3CDTF">2026-01-17T01:03:49Z</dcterms:created>
  <dcterms:modified xsi:type="dcterms:W3CDTF">2026-01-17T05:37:46Z</dcterms:modified>
</cp:coreProperties>
</file>