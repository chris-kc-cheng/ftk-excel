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c111\Dev\ftk-excel\"/>
    </mc:Choice>
  </mc:AlternateContent>
  <xr:revisionPtr revIDLastSave="0" documentId="13_ncr:1_{A7964134-8B48-4694-A192-26CD7C37CB3E}" xr6:coauthVersionLast="47" xr6:coauthVersionMax="47" xr10:uidLastSave="{00000000-0000-0000-0000-000000000000}"/>
  <bookViews>
    <workbookView xWindow="18480" yWindow="912" windowWidth="21084" windowHeight="15444" activeTab="1" xr2:uid="{33B86A54-F699-4A69-991F-5C59CF7B3663}"/>
  </bookViews>
  <sheets>
    <sheet name="Unsmooth" sheetId="1" r:id="rId1"/>
    <sheet name="Carino" sheetId="2" r:id="rId2"/>
  </sheets>
  <definedNames>
    <definedName name="Carino">_xlfn.LAMBDA(_xlpm.p,_xlpm.b,IF(_xlpm.p=_xlpm.b,1,(LN(1+_xlpm.p)-LN(1+_xlpm.b))/(_xlpm.p-_xlpm.b)))</definedName>
    <definedName name="P_Smoothed">OFFSET(Unsmooth!$B$14,0,0,1,COUNT(Unsmooth!$14:$14))</definedName>
    <definedName name="P_True">OFFSET(Unsmooth!$B$13,0,0,1,COUNT(Unsmooth!$13:$13))</definedName>
    <definedName name="P_Unsmoothed">OFFSET(Unsmooth!$B$15,0,0,1,COUNT(Unsmooth!$15:$15)+1)</definedName>
    <definedName name="Time">OFFSET(Unsmooth!$B$5,0,0,1,COUNT(Unsmooth!$5:$5))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 a="1"/>
  <c r="F12" i="2" s="1"/>
  <c r="F5" i="2" a="1"/>
  <c r="F5" i="2" s="1"/>
  <c r="B25" i="2" a="1"/>
  <c r="B25" i="2" s="1"/>
  <c r="B28" i="2" a="1"/>
  <c r="B28" i="2" s="1"/>
  <c r="B11" i="2" a="1"/>
  <c r="B11" i="2" s="1"/>
  <c r="B18" i="2" a="1"/>
  <c r="A29" i="2" a="1"/>
  <c r="A29" i="2" s="1"/>
  <c r="B19" i="2" a="1"/>
  <c r="A19" i="2" a="1"/>
  <c r="A19" i="2" s="1"/>
  <c r="A12" i="2" a="1"/>
  <c r="A12" i="2" s="1"/>
  <c r="B8" i="2" a="1"/>
  <c r="B15" i="2" a="1"/>
  <c r="A8" i="1" a="1"/>
  <c r="B29" i="2" l="1" a="1"/>
  <c r="B29" i="2" s="1"/>
  <c r="F29" i="2" s="1" a="1"/>
  <c r="F29" i="2" s="1"/>
  <c r="F32" i="2" s="1"/>
  <c r="B19" i="2"/>
  <c r="B22" i="2" s="1" a="1"/>
  <c r="B22" i="2" s="1"/>
  <c r="B18" i="2"/>
  <c r="B8" i="2"/>
  <c r="F8" i="2" s="1"/>
  <c r="F22" i="2" s="1"/>
  <c r="B15" i="2"/>
  <c r="F15" i="2"/>
  <c r="A8" i="1"/>
  <c r="C13" i="1" s="1" a="1"/>
  <c r="C13" i="1" l="1"/>
  <c r="B14" i="1" s="1" a="1"/>
  <c r="C15" i="1" l="1"/>
  <c r="B14" i="1"/>
  <c r="B5" i="1" s="1" a="1"/>
  <c r="B32" i="2" l="1" a="1"/>
  <c r="B5" i="1"/>
  <c r="C9" i="1" a="1"/>
  <c r="B32" i="2" l="1"/>
  <c r="C9" i="1"/>
  <c r="B3" i="1" l="1"/>
  <c r="D10" i="1" s="1" a="1"/>
  <c r="D10" i="1" l="1"/>
  <c r="D15" i="1" s="1" a="1"/>
  <c r="D15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<sst xmlns="http://schemas.openxmlformats.org/spreadsheetml/2006/main" count="27" uniqueCount="24">
  <si>
    <t>Smoothed</t>
  </si>
  <si>
    <t>Unsmoothed</t>
  </si>
  <si>
    <t>Decay</t>
  </si>
  <si>
    <t>Price</t>
  </si>
  <si>
    <t>True</t>
  </si>
  <si>
    <t>Return</t>
  </si>
  <si>
    <t>Autocorrelation</t>
  </si>
  <si>
    <t>Unsmoothing Returns</t>
  </si>
  <si>
    <t>Time</t>
  </si>
  <si>
    <t>Portfolio</t>
  </si>
  <si>
    <t>Benchmark</t>
  </si>
  <si>
    <t>Sector 1</t>
  </si>
  <si>
    <t>Sector 2</t>
  </si>
  <si>
    <t>Sector 3</t>
  </si>
  <si>
    <t>Total</t>
  </si>
  <si>
    <t>Q1</t>
  </si>
  <si>
    <t>Q2</t>
  </si>
  <si>
    <t>Q3</t>
  </si>
  <si>
    <t>Q4</t>
  </si>
  <si>
    <t>Carino Smoothing</t>
  </si>
  <si>
    <t>YTD</t>
  </si>
  <si>
    <t>Carino factors</t>
  </si>
  <si>
    <t>Active Return</t>
  </si>
  <si>
    <t>Active Return (Smoothed)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</si>
</sst>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"/>
    <numFmt numFmtId="166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1" quotePrefix="1" applyNumberFormat="1" applyFont="1"/>
    <xf numFmtId="0" fontId="2" fillId="0" borderId="0" xfId="0" applyFont="1"/>
    <xf numFmtId="2" fontId="0" fillId="0" borderId="0" xfId="0" applyNumberFormat="1"/>
    <xf numFmtId="164" fontId="0" fillId="2" borderId="0" xfId="1" applyNumberFormat="1" applyFont="1" applyFill="1"/>
    <xf numFmtId="2" fontId="0" fillId="2" borderId="0" xfId="0" applyNumberFormat="1" applyFill="1"/>
    <xf numFmtId="164" fontId="0" fillId="0" borderId="0" xfId="1" quotePrefix="1" applyNumberFormat="1" applyFont="1" applyFill="1"/>
    <xf numFmtId="164" fontId="0" fillId="0" borderId="0" xfId="1" applyNumberFormat="1" applyFont="1" applyFill="1"/>
    <xf numFmtId="0" fontId="3" fillId="0" borderId="0" xfId="0" applyFont="1"/>
    <xf numFmtId="0" fontId="4" fillId="0" borderId="0" xfId="0" applyFont="1"/>
    <xf numFmtId="9" fontId="0" fillId="0" borderId="0" xfId="1" applyFont="1"/>
    <xf numFmtId="9" fontId="2" fillId="0" borderId="0" xfId="1" applyFont="1"/>
    <xf numFmtId="9" fontId="3" fillId="0" borderId="0" xfId="1" applyFont="1"/>
    <xf numFmtId="9" fontId="0" fillId="0" borderId="2" xfId="1" applyFont="1" applyBorder="1"/>
    <xf numFmtId="166" fontId="0" fillId="0" borderId="0" xfId="1" applyNumberFormat="1" applyFont="1"/>
    <xf numFmtId="10" fontId="0" fillId="0" borderId="0" xfId="1" applyNumberFormat="1" applyFont="1"/>
    <xf numFmtId="10" fontId="0" fillId="0" borderId="2" xfId="1" applyNumberFormat="1" applyFont="1" applyBorder="1"/>
    <xf numFmtId="9" fontId="2" fillId="0" borderId="1" xfId="1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0" xfId="1" applyFont="1" applyAlignment="1">
      <alignment horizontal="center"/>
    </xf>
    <xf numFmtId="10" fontId="2" fillId="0" borderId="2" xfId="1" applyNumberFormat="1" applyFont="1" applyBorder="1"/>
    <xf numFmtId="9" fontId="4" fillId="0" borderId="0" xfId="1" applyFont="1"/>
    <xf numFmtId="9" fontId="1" fillId="0" borderId="0" xfId="1" applyFont="1"/>
    <xf numFmtId="9" fontId="1" fillId="0" borderId="1" xfId="1" applyFont="1" applyBorder="1" applyAlignment="1">
      <alignment horizontal="center"/>
    </xf>
    <xf numFmtId="10" fontId="1" fillId="0" borderId="0" xfId="1" applyNumberFormat="1" applyFont="1"/>
    <xf numFmtId="10" fontId="1" fillId="0" borderId="2" xfId="1" applyNumberFormat="1" applyFont="1" applyBorder="1"/>
    <xf numFmtId="10" fontId="1" fillId="0" borderId="1" xfId="1" applyNumberFormat="1" applyFont="1" applyBorder="1" applyAlignment="1">
      <alignment horizontal="center"/>
    </xf>
    <xf numFmtId="166" fontId="1" fillId="0" borderId="0" xfId="1" applyNumberFormat="1" applyFont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80B4A131-65E2-49EF-B7DF-06E3F95448D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Unsmooth!$A$13</c:f>
              <c:strCache>
                <c:ptCount val="1"/>
                <c:pt idx="0">
                  <c:v>True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[0]!P_True</c:f>
              <c:numCache>
                <c:formatCode>0.0</c:formatCode>
                <c:ptCount val="13"/>
                <c:pt idx="0">
                  <c:v>100</c:v>
                </c:pt>
                <c:pt idx="1">
                  <c:v>102</c:v>
                </c:pt>
                <c:pt idx="2">
                  <c:v>107.10000000000001</c:v>
                </c:pt>
                <c:pt idx="3">
                  <c:v>85.68</c:v>
                </c:pt>
                <c:pt idx="4">
                  <c:v>77.112000000000009</c:v>
                </c:pt>
                <c:pt idx="5">
                  <c:v>88.67880000000001</c:v>
                </c:pt>
                <c:pt idx="6">
                  <c:v>110.84850000000002</c:v>
                </c:pt>
                <c:pt idx="7">
                  <c:v>140.77759500000002</c:v>
                </c:pt>
                <c:pt idx="8">
                  <c:v>119.66095575000001</c:v>
                </c:pt>
                <c:pt idx="9">
                  <c:v>113.6779079625</c:v>
                </c:pt>
                <c:pt idx="10">
                  <c:v>125.04569875875001</c:v>
                </c:pt>
                <c:pt idx="11">
                  <c:v>140.05118260980001</c:v>
                </c:pt>
                <c:pt idx="12">
                  <c:v>105.03838695735001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8D-409E-BBDF-6C43D6DB026F}"/>
            </c:ext>
          </c:extLst>
        </c:ser>
        <c:ser>
          <c:idx val="1"/>
          <c:order val="1"/>
          <c:tx>
            <c:strRef>
              <c:f>Unsmooth!$A$14</c:f>
              <c:strCache>
                <c:ptCount val="1"/>
                <c:pt idx="0">
                  <c:v>Smoothed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[0]!P_Smoothed</c:f>
              <c:numCache>
                <c:formatCode>0.0</c:formatCode>
                <c:ptCount val="13"/>
                <c:pt idx="0">
                  <c:v>100</c:v>
                </c:pt>
                <c:pt idx="1">
                  <c:v>100.80000000000001</c:v>
                </c:pt>
                <c:pt idx="2">
                  <c:v>103.32000000000001</c:v>
                </c:pt>
                <c:pt idx="3">
                  <c:v>96.26400000000001</c:v>
                </c:pt>
                <c:pt idx="4">
                  <c:v>88.603200000000015</c:v>
                </c:pt>
                <c:pt idx="5">
                  <c:v>88.633440000000007</c:v>
                </c:pt>
                <c:pt idx="6">
                  <c:v>97.519464000000013</c:v>
                </c:pt>
                <c:pt idx="7">
                  <c:v>114.82271640000002</c:v>
                </c:pt>
                <c:pt idx="8">
                  <c:v>116.75801214000001</c:v>
                </c:pt>
                <c:pt idx="9">
                  <c:v>115.52597046900001</c:v>
                </c:pt>
                <c:pt idx="10">
                  <c:v>119.33386178490002</c:v>
                </c:pt>
                <c:pt idx="11">
                  <c:v>127.62079011486001</c:v>
                </c:pt>
                <c:pt idx="12">
                  <c:v>118.58782885185602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8D-409E-BBDF-6C43D6DB026F}"/>
            </c:ext>
          </c:extLst>
        </c:ser>
        <c:ser>
          <c:idx val="2"/>
          <c:order val="2"/>
          <c:tx>
            <c:strRef>
              <c:f>Unsmooth!$A$15</c:f>
              <c:strCache>
                <c:ptCount val="1"/>
                <c:pt idx="0">
                  <c:v>Unsmoothed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[0]!P_Unsmoothed</c:f>
              <c:numCache>
                <c:formatCode>0.0</c:formatCode>
                <c:ptCount val="13"/>
                <c:pt idx="1">
                  <c:v>100.80000000000001</c:v>
                </c:pt>
                <c:pt idx="2">
                  <c:v>104.56008172862228</c:v>
                </c:pt>
                <c:pt idx="3">
                  <c:v>90.360211660280598</c:v>
                </c:pt>
                <c:pt idx="4">
                  <c:v>82.431077469522819</c:v>
                </c:pt>
                <c:pt idx="5">
                  <c:v>87.226819753081813</c:v>
                </c:pt>
                <c:pt idx="6">
                  <c:v>102.27877774203452</c:v>
                </c:pt>
                <c:pt idx="7">
                  <c:v>126.13890665752774</c:v>
                </c:pt>
                <c:pt idx="8">
                  <c:v>113.60678187104207</c:v>
                </c:pt>
                <c:pt idx="9">
                  <c:v>110.1547782632494</c:v>
                </c:pt>
                <c:pt idx="10">
                  <c:v>117.25433482750979</c:v>
                </c:pt>
                <c:pt idx="11">
                  <c:v>128.49246943635001</c:v>
                </c:pt>
                <c:pt idx="12">
                  <c:v>106.35901299105205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8D-409E-BBDF-6C43D6DB0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336255"/>
        <c:axId val="1630338175"/>
      </c:lineChart>
      <c:catAx>
        <c:axId val="1630336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38175"/>
        <c:crosses val="autoZero"/>
        <c:auto val="1"/>
        <c:lblAlgn val="ctr"/>
        <c:lblOffset val="100"/>
        <c:noMultiLvlLbl val="0"/>
      </c:catAx>
      <c:valAx>
        <c:axId val="163033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3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0</xdr:rowOff>
    </xdr:from>
    <xdr:to>
      <xdr:col>10</xdr:col>
      <xdr:colOff>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5FAE89-94C3-5D19-86C1-1B6D9B17A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C1D19-0528-4CDA-95D2-1EF744094B20}">
  <dimension ref="A1:N16"/>
  <sheetViews>
    <sheetView workbookViewId="0">
      <selection activeCell="B2" sqref="B2"/>
    </sheetView>
  </sheetViews>
  <sheetFormatPr defaultRowHeight="14.4" x14ac:dyDescent="0.3"/>
  <cols>
    <col min="1" max="1" width="13.5546875" bestFit="1" customWidth="1"/>
    <col min="2" max="3" width="9.109375" bestFit="1" customWidth="1"/>
  </cols>
  <sheetData>
    <row r="1" spans="1:14" s="11" customFormat="1" ht="18" x14ac:dyDescent="0.35">
      <c r="A1" s="10" t="s">
        <v>7</v>
      </c>
    </row>
    <row r="2" spans="1:14" x14ac:dyDescent="0.3">
      <c r="A2" t="s">
        <v>2</v>
      </c>
      <c r="B2" s="7">
        <v>0.4</v>
      </c>
    </row>
    <row r="3" spans="1:14" x14ac:dyDescent="0.3">
      <c r="A3" t="s">
        <v>6</v>
      </c>
      <c r="B3" s="5">
        <f ca="1">CORREL(D9:J9,C9:I9)</f>
        <v>0.41984270566643095</v>
      </c>
    </row>
    <row r="5" spans="1:14" x14ac:dyDescent="0.3">
      <c r="A5" s="4" t="s">
        <v>8</v>
      </c>
      <c r="B5" cm="1">
        <f t="array" aca="1" ref="B5:N5" ca="1">_xlfn.SEQUENCE(1,COUNT(_xlfn.ANCHORARRAY(B14)),0)</f>
        <v>0</v>
      </c>
      <c r="C5">
        <f ca="1"/>
        <v>1</v>
      </c>
      <c r="D5">
        <f ca="1"/>
        <v>2</v>
      </c>
      <c r="E5">
        <f ca="1"/>
        <v>3</v>
      </c>
      <c r="F5">
        <f ca="1"/>
        <v>4</v>
      </c>
      <c r="G5">
        <f ca="1"/>
        <v>5</v>
      </c>
      <c r="H5">
        <f ca="1"/>
        <v>6</v>
      </c>
      <c r="I5">
        <f ca="1"/>
        <v>7</v>
      </c>
      <c r="J5">
        <f ca="1"/>
        <v>8</v>
      </c>
      <c r="K5">
        <f ca="1"/>
        <v>9</v>
      </c>
      <c r="L5">
        <f ca="1"/>
        <v>10</v>
      </c>
      <c r="M5">
        <f ca="1"/>
        <v>11</v>
      </c>
      <c r="N5">
        <f ca="1"/>
        <v>12</v>
      </c>
    </row>
    <row r="6" spans="1:14" s="2" customFormat="1" x14ac:dyDescent="0.3"/>
    <row r="7" spans="1:14" x14ac:dyDescent="0.3">
      <c r="A7" s="4" t="s">
        <v>5</v>
      </c>
    </row>
    <row r="8" spans="1:14" s="6" customFormat="1" x14ac:dyDescent="0.3">
      <c r="A8" s="8" t="str" cm="1">
        <f t="array" ref="A8:A10">A13:A15</f>
        <v>True</v>
      </c>
      <c r="B8" s="9"/>
      <c r="C8" s="6">
        <v>0.02</v>
      </c>
      <c r="D8" s="6">
        <v>0.05</v>
      </c>
      <c r="E8" s="6">
        <v>-0.2</v>
      </c>
      <c r="F8" s="6">
        <v>-0.1</v>
      </c>
      <c r="G8" s="6">
        <v>0.15</v>
      </c>
      <c r="H8" s="6">
        <v>0.25</v>
      </c>
      <c r="I8" s="6">
        <v>0.27</v>
      </c>
      <c r="J8" s="6">
        <v>-0.15</v>
      </c>
      <c r="K8" s="6">
        <v>-0.05</v>
      </c>
      <c r="L8" s="6">
        <v>0.1</v>
      </c>
      <c r="M8" s="6">
        <v>0.12</v>
      </c>
      <c r="N8" s="6">
        <v>-0.25</v>
      </c>
    </row>
    <row r="9" spans="1:14" s="1" customFormat="1" x14ac:dyDescent="0.3">
      <c r="A9" s="2" t="str">
        <v>Smoothed</v>
      </c>
      <c r="C9" s="1" cm="1">
        <f t="array" aca="1" ref="C9:N9" ca="1">_xlfn.DROP(_xlfn.ANCHORARRAY(B14),,1)/_xlfn.DROP(_xlfn.ANCHORARRAY(B14),,-1)-1</f>
        <v>8.0000000000000071E-3</v>
      </c>
      <c r="D9" s="1">
        <f ca="1"/>
        <v>2.4999999999999911E-2</v>
      </c>
      <c r="E9" s="1">
        <f ca="1"/>
        <v>-6.8292682926829218E-2</v>
      </c>
      <c r="F9" s="1">
        <f ca="1"/>
        <v>-7.9581151832460617E-2</v>
      </c>
      <c r="G9" s="1">
        <f ca="1"/>
        <v>3.4129692832762792E-4</v>
      </c>
      <c r="H9" s="1">
        <f ca="1"/>
        <v>0.10025588536335728</v>
      </c>
      <c r="I9" s="1">
        <f ca="1"/>
        <v>0.17743383413182001</v>
      </c>
      <c r="J9" s="1">
        <f ca="1"/>
        <v>1.6854641665662529E-2</v>
      </c>
      <c r="K9" s="1">
        <f ca="1"/>
        <v>-1.05520952988023E-2</v>
      </c>
      <c r="L9" s="1">
        <f ca="1"/>
        <v>3.2961344539596871E-2</v>
      </c>
      <c r="M9" s="1">
        <f ca="1"/>
        <v>6.9443225971327571E-2</v>
      </c>
      <c r="N9" s="1">
        <f ca="1"/>
        <v>-7.0779700195197304E-2</v>
      </c>
    </row>
    <row r="10" spans="1:14" s="1" customFormat="1" x14ac:dyDescent="0.3">
      <c r="A10" s="1" t="str">
        <v>Unsmoothed</v>
      </c>
      <c r="D10" s="1" cm="1">
        <f t="array" aca="1" ref="D10:N10" ca="1">(_xlfn.DROP(_xlfn.ANCHORARRAY(C9),,1)-B3*_xlfn.DROP(_xlfn.ANCHORARRAY(C9),,-1))/(1-B3)</f>
        <v>3.7302398101411331E-2</v>
      </c>
      <c r="E10" s="1">
        <f ca="1"/>
        <v>-0.13580584323945313</v>
      </c>
      <c r="F10" s="1">
        <f ca="1"/>
        <v>-8.7750283504959573E-2</v>
      </c>
      <c r="G10" s="1">
        <f ca="1"/>
        <v>5.817881351037929E-2</v>
      </c>
      <c r="H10" s="1">
        <f ca="1"/>
        <v>0.1725611231907937</v>
      </c>
      <c r="I10" s="1">
        <f ca="1"/>
        <v>0.23328523709652405</v>
      </c>
      <c r="J10" s="1">
        <f ca="1"/>
        <v>-9.9351779070916621E-2</v>
      </c>
      <c r="K10" s="1">
        <f ca="1"/>
        <v>-3.0385541698656187E-2</v>
      </c>
      <c r="L10" s="1">
        <f ca="1"/>
        <v>6.4450736283938326E-2</v>
      </c>
      <c r="M10" s="1">
        <f ca="1"/>
        <v>9.5844086492600677E-2</v>
      </c>
      <c r="N10" s="1">
        <f ca="1"/>
        <v>-0.17225489199786898</v>
      </c>
    </row>
    <row r="11" spans="1:14" s="1" customFormat="1" x14ac:dyDescent="0.3"/>
    <row r="12" spans="1:14" x14ac:dyDescent="0.3">
      <c r="A12" s="4" t="s">
        <v>3</v>
      </c>
    </row>
    <row r="13" spans="1:14" s="2" customFormat="1" x14ac:dyDescent="0.3">
      <c r="A13" s="3" t="s">
        <v>4</v>
      </c>
      <c r="B13" s="2">
        <v>100</v>
      </c>
      <c r="C13" s="2" cm="1">
        <f t="array" aca="1" ref="C13:N13" ca="1">_xlfn.SCAN(B13,OFFSET(C8,0,0,1,COUNT(8:8)),_xlfn.LAMBDA(_xlpm.p,_xlpm.r,_xlpm.p*(1+_xlpm.r)))</f>
        <v>102</v>
      </c>
      <c r="D13" s="2">
        <f ca="1"/>
        <v>107.10000000000001</v>
      </c>
      <c r="E13" s="2">
        <f ca="1"/>
        <v>85.68</v>
      </c>
      <c r="F13" s="2">
        <f ca="1"/>
        <v>77.112000000000009</v>
      </c>
      <c r="G13" s="2">
        <f ca="1"/>
        <v>88.67880000000001</v>
      </c>
      <c r="H13" s="2">
        <f ca="1"/>
        <v>110.84850000000002</v>
      </c>
      <c r="I13" s="2">
        <f ca="1"/>
        <v>140.77759500000002</v>
      </c>
      <c r="J13" s="2">
        <f ca="1"/>
        <v>119.66095575000001</v>
      </c>
      <c r="K13" s="2">
        <f ca="1"/>
        <v>113.6779079625</v>
      </c>
      <c r="L13" s="2">
        <f ca="1"/>
        <v>125.04569875875001</v>
      </c>
      <c r="M13" s="2">
        <f ca="1"/>
        <v>140.05118260980001</v>
      </c>
      <c r="N13" s="2">
        <f ca="1"/>
        <v>105.03838695735001</v>
      </c>
    </row>
    <row r="14" spans="1:14" s="2" customFormat="1" x14ac:dyDescent="0.3">
      <c r="A14" s="2" t="s">
        <v>0</v>
      </c>
      <c r="B14" s="2" cm="1">
        <f t="array" aca="1" ref="B14:N14" ca="1">_xlfn.REDUCE(
    B13,_xlfn.ANCHORARRAY( C13),
    _xlfn.LAMBDA(_xlpm.a,_xlpm.p,
        _xlfn.HSTACK(_xlpm.a, B2 * _xlpm.p + (1 - B2) * _xlfn.CHOOSECOLS(_xlpm.a, -1)
        )
    )
)</f>
        <v>100</v>
      </c>
      <c r="C14" s="2">
        <f ca="1"/>
        <v>100.80000000000001</v>
      </c>
      <c r="D14" s="2">
        <f ca="1"/>
        <v>103.32000000000001</v>
      </c>
      <c r="E14" s="2">
        <f ca="1"/>
        <v>96.26400000000001</v>
      </c>
      <c r="F14" s="2">
        <f ca="1"/>
        <v>88.603200000000015</v>
      </c>
      <c r="G14" s="2">
        <f ca="1"/>
        <v>88.633440000000007</v>
      </c>
      <c r="H14" s="2">
        <f ca="1"/>
        <v>97.519464000000013</v>
      </c>
      <c r="I14" s="2">
        <f ca="1"/>
        <v>114.82271640000002</v>
      </c>
      <c r="J14" s="2">
        <f ca="1"/>
        <v>116.75801214000001</v>
      </c>
      <c r="K14" s="2">
        <f ca="1"/>
        <v>115.52597046900001</v>
      </c>
      <c r="L14" s="2">
        <f ca="1"/>
        <v>119.33386178490002</v>
      </c>
      <c r="M14" s="2">
        <f ca="1"/>
        <v>127.62079011486001</v>
      </c>
      <c r="N14" s="2">
        <f ca="1"/>
        <v>118.58782885185602</v>
      </c>
    </row>
    <row r="15" spans="1:14" s="2" customFormat="1" x14ac:dyDescent="0.3">
      <c r="A15" s="2" t="s">
        <v>1</v>
      </c>
      <c r="C15" s="2">
        <f ca="1">C14</f>
        <v>100.80000000000001</v>
      </c>
      <c r="D15" s="2" cm="1">
        <f t="array" aca="1" ref="D15:N15" ca="1">_xlfn.SCAN(C15,_xlfn.ANCHORARRAY(D10),_xlfn.LAMBDA(_xlpm.p,_xlpm.r,_xlpm.p*(1+_xlpm.r)))</f>
        <v>104.56008172862228</v>
      </c>
      <c r="E15" s="2">
        <f ca="1"/>
        <v>90.360211660280598</v>
      </c>
      <c r="F15" s="2">
        <f ca="1"/>
        <v>82.431077469522819</v>
      </c>
      <c r="G15" s="2">
        <f ca="1"/>
        <v>87.226819753081813</v>
      </c>
      <c r="H15" s="2">
        <f ca="1"/>
        <v>102.27877774203452</v>
      </c>
      <c r="I15" s="2">
        <f ca="1"/>
        <v>126.13890665752774</v>
      </c>
      <c r="J15" s="2">
        <f ca="1"/>
        <v>113.60678187104207</v>
      </c>
      <c r="K15" s="2">
        <f ca="1"/>
        <v>110.1547782632494</v>
      </c>
      <c r="L15" s="2">
        <f ca="1"/>
        <v>117.25433482750979</v>
      </c>
      <c r="M15" s="2">
        <f ca="1"/>
        <v>128.49246943635001</v>
      </c>
      <c r="N15" s="2">
        <f ca="1"/>
        <v>106.35901299105205</v>
      </c>
    </row>
    <row r="16" spans="1:14" s="1" customFormat="1" x14ac:dyDescent="0.3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01E4C-6F4D-44AD-A044-A7961644B033}">
  <dimension ref="A1:I32"/>
  <sheetViews>
    <sheetView tabSelected="1" workbookViewId="0">
      <selection activeCell="G25" sqref="G25"/>
    </sheetView>
  </sheetViews>
  <sheetFormatPr defaultRowHeight="14.4" x14ac:dyDescent="0.3"/>
  <cols>
    <col min="1" max="5" width="8.88671875" style="12"/>
    <col min="6" max="6" width="8.88671875" style="24"/>
    <col min="7" max="16384" width="8.88671875" style="12"/>
  </cols>
  <sheetData>
    <row r="1" spans="1:9" s="14" customFormat="1" ht="18" x14ac:dyDescent="0.35">
      <c r="A1" s="14" t="s">
        <v>19</v>
      </c>
      <c r="F1" s="23"/>
    </row>
    <row r="3" spans="1:9" x14ac:dyDescent="0.3">
      <c r="A3" s="13" t="s">
        <v>9</v>
      </c>
    </row>
    <row r="4" spans="1:9" s="21" customFormat="1" ht="15" thickBot="1" x14ac:dyDescent="0.35">
      <c r="A4" s="19"/>
      <c r="B4" s="20" t="s">
        <v>15</v>
      </c>
      <c r="C4" s="20" t="s">
        <v>16</v>
      </c>
      <c r="D4" s="20" t="s">
        <v>17</v>
      </c>
      <c r="E4" s="20" t="s">
        <v>18</v>
      </c>
      <c r="F4" s="25" t="s">
        <v>20</v>
      </c>
    </row>
    <row r="5" spans="1:9" x14ac:dyDescent="0.3">
      <c r="A5" s="12" t="s">
        <v>11</v>
      </c>
      <c r="B5" s="12">
        <v>-0.06</v>
      </c>
      <c r="C5" s="12">
        <v>0.04</v>
      </c>
      <c r="D5" s="12">
        <v>0.04</v>
      </c>
      <c r="E5" s="12">
        <v>0.04</v>
      </c>
      <c r="F5" s="26" cm="1">
        <f t="array" ref="F5:F7">MMULT(B5:E7,TRANSPOSE(Carino(_xlfn.ANCHORARRAY(B8),)))/Carino(F8,)</f>
        <v>5.2116422638312634E-2</v>
      </c>
      <c r="I5" s="17"/>
    </row>
    <row r="6" spans="1:9" x14ac:dyDescent="0.3">
      <c r="A6" s="12" t="s">
        <v>12</v>
      </c>
      <c r="B6" s="12">
        <v>0.02</v>
      </c>
      <c r="C6" s="12">
        <v>-0.12</v>
      </c>
      <c r="D6" s="12">
        <v>-0.02</v>
      </c>
      <c r="E6" s="12">
        <v>0.06</v>
      </c>
      <c r="F6" s="26">
        <v>-6.7648847569390935E-2</v>
      </c>
    </row>
    <row r="7" spans="1:9" x14ac:dyDescent="0.3">
      <c r="A7" s="12" t="s">
        <v>13</v>
      </c>
      <c r="B7" s="12">
        <v>-0.12</v>
      </c>
      <c r="C7" s="12">
        <v>0.04</v>
      </c>
      <c r="D7" s="12">
        <v>0.21</v>
      </c>
      <c r="E7" s="12">
        <v>0.06</v>
      </c>
      <c r="F7" s="26">
        <v>0.16610394493107827</v>
      </c>
    </row>
    <row r="8" spans="1:9" ht="15" thickBot="1" x14ac:dyDescent="0.35">
      <c r="A8" s="15" t="s">
        <v>14</v>
      </c>
      <c r="B8" s="15" cm="1">
        <f t="array" ref="B8:E8">_xlfn.BYCOL(B5:E7,_xleta.SUM)</f>
        <v>-0.15999999999999998</v>
      </c>
      <c r="C8" s="15">
        <v>-3.9999999999999987E-2</v>
      </c>
      <c r="D8" s="15">
        <v>0.22999999999999998</v>
      </c>
      <c r="E8" s="15">
        <v>0.16</v>
      </c>
      <c r="F8" s="27">
        <f>FVSCHEDULE(1,_xlfn.ANCHORARRAY(B8))-1</f>
        <v>0.15057151999999996</v>
      </c>
    </row>
    <row r="9" spans="1:9" x14ac:dyDescent="0.3">
      <c r="F9" s="26"/>
    </row>
    <row r="10" spans="1:9" x14ac:dyDescent="0.3">
      <c r="A10" s="13" t="s">
        <v>10</v>
      </c>
      <c r="F10" s="26"/>
    </row>
    <row r="11" spans="1:9" s="21" customFormat="1" ht="15" thickBot="1" x14ac:dyDescent="0.35">
      <c r="A11" s="19"/>
      <c r="B11" s="20" t="str" cm="1">
        <f t="array" ref="B11:F11">B4:F4</f>
        <v>Q1</v>
      </c>
      <c r="C11" s="20" t="str">
        <v>Q2</v>
      </c>
      <c r="D11" s="20" t="str">
        <v>Q3</v>
      </c>
      <c r="E11" s="20" t="str">
        <v>Q4</v>
      </c>
      <c r="F11" s="28" t="str">
        <v>YTD</v>
      </c>
    </row>
    <row r="12" spans="1:9" x14ac:dyDescent="0.3">
      <c r="A12" s="12" t="str" cm="1">
        <f t="array" ref="A12:A14">A5:A7</f>
        <v>Sector 1</v>
      </c>
      <c r="B12" s="12">
        <v>0</v>
      </c>
      <c r="C12" s="12">
        <v>0.03</v>
      </c>
      <c r="D12" s="12">
        <v>-0.06</v>
      </c>
      <c r="E12" s="12">
        <v>0.08</v>
      </c>
      <c r="F12" s="26" cm="1">
        <f t="array" ref="F12:F14">MMULT(B12:E14,TRANSPOSE(Carino(_xlfn.ANCHORARRAY(B15),)))/Carino(F15,)</f>
        <v>3.9486899760215431E-2</v>
      </c>
    </row>
    <row r="13" spans="1:9" x14ac:dyDescent="0.3">
      <c r="A13" s="12" t="str">
        <v>Sector 2</v>
      </c>
      <c r="B13" s="12">
        <v>0.04</v>
      </c>
      <c r="C13" s="12">
        <v>0</v>
      </c>
      <c r="D13" s="12">
        <v>-0.04</v>
      </c>
      <c r="E13" s="12">
        <v>0.06</v>
      </c>
      <c r="F13" s="26">
        <v>5.088164151366608E-2</v>
      </c>
    </row>
    <row r="14" spans="1:9" x14ac:dyDescent="0.3">
      <c r="A14" s="12" t="str">
        <v>Sector 3</v>
      </c>
      <c r="B14" s="12">
        <v>0.14000000000000001</v>
      </c>
      <c r="C14" s="12">
        <v>0</v>
      </c>
      <c r="D14" s="12">
        <v>-0.1</v>
      </c>
      <c r="E14" s="12">
        <v>0</v>
      </c>
      <c r="F14" s="26">
        <v>1.8076258726118594E-2</v>
      </c>
    </row>
    <row r="15" spans="1:9" ht="15" thickBot="1" x14ac:dyDescent="0.35">
      <c r="A15" s="15" t="s">
        <v>14</v>
      </c>
      <c r="B15" s="15" cm="1">
        <f t="array" ref="B15:E15">_xlfn.BYCOL(B12:E14,_xleta.SUM)</f>
        <v>0.18000000000000002</v>
      </c>
      <c r="C15" s="15">
        <v>0.03</v>
      </c>
      <c r="D15" s="15">
        <v>-0.2</v>
      </c>
      <c r="E15" s="15">
        <v>0.14000000000000001</v>
      </c>
      <c r="F15" s="27">
        <f>FVSCHEDULE(1,_xlfn.ANCHORARRAY(B15))-1</f>
        <v>0.10844480000000023</v>
      </c>
    </row>
    <row r="17" spans="1:6" x14ac:dyDescent="0.3">
      <c r="A17" s="13" t="s">
        <v>22</v>
      </c>
    </row>
    <row r="18" spans="1:6" s="16" customFormat="1" ht="15" thickBot="1" x14ac:dyDescent="0.35">
      <c r="A18" s="19"/>
      <c r="B18" s="20" t="str" cm="1">
        <f t="array" ref="B18:F18">B4:F4</f>
        <v>Q1</v>
      </c>
      <c r="C18" s="20" t="str">
        <v>Q2</v>
      </c>
      <c r="D18" s="20" t="str">
        <v>Q3</v>
      </c>
      <c r="E18" s="20" t="str">
        <v>Q4</v>
      </c>
      <c r="F18" s="28" t="str">
        <v>YTD</v>
      </c>
    </row>
    <row r="19" spans="1:6" x14ac:dyDescent="0.3">
      <c r="A19" s="12" t="str" cm="1">
        <f t="array" ref="A19:A21">A5:A7</f>
        <v>Sector 1</v>
      </c>
      <c r="B19" s="12" cm="1">
        <f t="array" ref="B19:E21">B5:E7-B12:E14</f>
        <v>-0.06</v>
      </c>
      <c r="C19" s="12">
        <v>1.0000000000000002E-2</v>
      </c>
      <c r="D19" s="12">
        <v>0.1</v>
      </c>
      <c r="E19" s="12">
        <v>-0.04</v>
      </c>
      <c r="F19" s="26"/>
    </row>
    <row r="20" spans="1:6" x14ac:dyDescent="0.3">
      <c r="A20" s="12" t="str">
        <v>Sector 2</v>
      </c>
      <c r="B20" s="12">
        <v>-0.02</v>
      </c>
      <c r="C20" s="12">
        <v>-0.12</v>
      </c>
      <c r="D20" s="12">
        <v>0.02</v>
      </c>
      <c r="E20" s="12">
        <v>0</v>
      </c>
      <c r="F20" s="26"/>
    </row>
    <row r="21" spans="1:6" x14ac:dyDescent="0.3">
      <c r="A21" s="12" t="str">
        <v>Sector 3</v>
      </c>
      <c r="B21" s="12">
        <v>-0.26</v>
      </c>
      <c r="C21" s="12">
        <v>0.04</v>
      </c>
      <c r="D21" s="12">
        <v>0.31</v>
      </c>
      <c r="E21" s="12">
        <v>0.06</v>
      </c>
      <c r="F21" s="26"/>
    </row>
    <row r="22" spans="1:6" ht="15" thickBot="1" x14ac:dyDescent="0.35">
      <c r="A22" s="15" t="s">
        <v>14</v>
      </c>
      <c r="B22" s="15" cm="1">
        <f t="array" ref="B22:E22">_xlfn.BYCOL(B19:E21,_xleta.SUM)</f>
        <v>-0.34</v>
      </c>
      <c r="C22" s="15">
        <v>-6.9999999999999979E-2</v>
      </c>
      <c r="D22" s="15">
        <v>0.43</v>
      </c>
      <c r="E22" s="15">
        <v>1.9999999999999997E-2</v>
      </c>
      <c r="F22" s="22">
        <f>F8-F15</f>
        <v>4.2126719999999729E-2</v>
      </c>
    </row>
    <row r="24" spans="1:6" x14ac:dyDescent="0.3">
      <c r="A24" s="13" t="s">
        <v>21</v>
      </c>
    </row>
    <row r="25" spans="1:6" x14ac:dyDescent="0.3">
      <c r="A25" s="16"/>
      <c r="B25" s="16" cm="1">
        <f t="array" ref="B25:F25">Carino(B8:F8,B15:F15)</f>
        <v>0.99961125183044408</v>
      </c>
      <c r="C25" s="16">
        <v>1.0054399537399945</v>
      </c>
      <c r="D25" s="16">
        <v>1.0003667923221764</v>
      </c>
      <c r="E25" s="16">
        <v>0.86958713559345158</v>
      </c>
      <c r="F25" s="29">
        <v>0.88544375223740135</v>
      </c>
    </row>
    <row r="27" spans="1:6" x14ac:dyDescent="0.3">
      <c r="A27" s="13" t="s">
        <v>23</v>
      </c>
    </row>
    <row r="28" spans="1:6" ht="15" thickBot="1" x14ac:dyDescent="0.35">
      <c r="A28" s="19"/>
      <c r="B28" s="20" t="str" cm="1">
        <f t="array" ref="B28:F28">B4:F4</f>
        <v>Q1</v>
      </c>
      <c r="C28" s="20" t="str">
        <v>Q2</v>
      </c>
      <c r="D28" s="20" t="str">
        <v>Q3</v>
      </c>
      <c r="E28" s="20" t="str">
        <v>Q4</v>
      </c>
      <c r="F28" s="28" t="str">
        <v>YTD</v>
      </c>
    </row>
    <row r="29" spans="1:6" x14ac:dyDescent="0.3">
      <c r="A29" s="12" t="str" cm="1">
        <f t="array" ref="A29:A31">A5:A7</f>
        <v>Sector 1</v>
      </c>
      <c r="B29" s="17" cm="1">
        <f t="array" ref="B29:E31">_xlfn.ANCHORARRAY(B19)*B25:E25/F25</f>
        <v>-6.7736290372226782E-2</v>
      </c>
      <c r="C29" s="17">
        <v>1.1355209760070909E-2</v>
      </c>
      <c r="D29" s="17">
        <v>0.11297914630877225</v>
      </c>
      <c r="E29" s="17">
        <v>-3.9283675937454764E-2</v>
      </c>
      <c r="F29" s="26" cm="1">
        <f t="array" ref="F29:F31">_xlfn.BYROW(B29:E31,_xleta.SUM)</f>
        <v>1.7314389759161608E-2</v>
      </c>
    </row>
    <row r="30" spans="1:6" x14ac:dyDescent="0.3">
      <c r="A30" s="12" t="str">
        <v>Sector 2</v>
      </c>
      <c r="B30" s="17">
        <v>-2.2578763457408928E-2</v>
      </c>
      <c r="C30" s="17">
        <v>-0.13626251712085088</v>
      </c>
      <c r="D30" s="17">
        <v>2.2595829261754446E-2</v>
      </c>
      <c r="E30" s="17">
        <v>0</v>
      </c>
      <c r="F30" s="26">
        <v>-0.13624545131650537</v>
      </c>
    </row>
    <row r="31" spans="1:6" x14ac:dyDescent="0.3">
      <c r="A31" s="12" t="str">
        <v>Sector 3</v>
      </c>
      <c r="B31" s="17">
        <v>-0.29352392494631607</v>
      </c>
      <c r="C31" s="17">
        <v>4.5420839040283628E-2</v>
      </c>
      <c r="D31" s="17">
        <v>0.35023535355719393</v>
      </c>
      <c r="E31" s="17">
        <v>5.8925513906182149E-2</v>
      </c>
      <c r="F31" s="26">
        <v>0.16105778155734363</v>
      </c>
    </row>
    <row r="32" spans="1:6" ht="15" thickBot="1" x14ac:dyDescent="0.35">
      <c r="A32" s="15" t="s">
        <v>14</v>
      </c>
      <c r="B32" s="18" cm="1">
        <f t="array" ref="B32:E32">_xlfn.BYCOL(B29:E31,_xleta.SUM)</f>
        <v>-0.3838389787759518</v>
      </c>
      <c r="C32" s="18">
        <v>-7.9486468320496342E-2</v>
      </c>
      <c r="D32" s="18">
        <v>0.4858103291277206</v>
      </c>
      <c r="E32" s="18">
        <v>1.9641837968727385E-2</v>
      </c>
      <c r="F32" s="22">
        <f>SUM(_xlfn.ANCHORARRAY(F29))</f>
        <v>4.2126719999999868E-2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Unsmooth</vt:lpstr>
      <vt:lpstr>Carino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Cheung Cheng</dc:creator>
  <cp:lastModifiedBy>Kai Cheung Cheng</cp:lastModifiedBy>
  <dcterms:created xsi:type="dcterms:W3CDTF">2026-01-17T01:03:49Z</dcterms:created>
  <dcterms:modified xsi:type="dcterms:W3CDTF">2026-01-17T12:03:13Z</dcterms:modified>
</cp:coreProperties>
</file>