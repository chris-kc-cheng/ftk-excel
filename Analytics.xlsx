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c111\Dev\ftk-excel\"/>
    </mc:Choice>
  </mc:AlternateContent>
  <xr:revisionPtr revIDLastSave="0" documentId="13_ncr:1_{38B372D6-FD11-41BD-B767-46D5ECDCF8DF}" xr6:coauthVersionLast="47" xr6:coauthVersionMax="47" xr10:uidLastSave="{00000000-0000-0000-0000-000000000000}"/>
  <bookViews>
    <workbookView xWindow="-108" yWindow="-108" windowWidth="41496" windowHeight="16776" activeTab="3" xr2:uid="{33B86A54-F699-4A69-991F-5C59CF7B3663}"/>
  </bookViews>
  <sheets>
    <sheet name="Unsmooth" sheetId="1" r:id="rId1"/>
    <sheet name="Carino" sheetId="2" r:id="rId2"/>
    <sheet name="Frongello" sheetId="3" r:id="rId3"/>
    <sheet name="CIR" sheetId="4" r:id="rId4"/>
  </sheets>
  <definedNames>
    <definedName name="Carino">_xlfn.LAMBDA(_xlpm.p,_xlpm.b,IF(_xlpm.p=_xlpm.b,1,(LN(1+_xlpm.p)-LN(1+_xlpm.b))/(_xlpm.p-_xlpm.b)))</definedName>
    <definedName name="P_Smoothed">OFFSET(Unsmooth!$B$14,0,0,1,COUNT(Unsmooth!$14:$14))</definedName>
    <definedName name="P_True">OFFSET(Unsmooth!$B$13,0,0,1,COUNT(Unsmooth!$13:$13))</definedName>
    <definedName name="P_Unsmoothed">OFFSET(Unsmooth!$B$15,0,0,1,COUNT(Unsmooth!$15:$15)+1)</definedName>
    <definedName name="Time">OFFSET(Unsmooth!$B$5,0,0,1,COUNT(Unsmooth!$5:$5))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" i="4" l="1" a="1"/>
  <c r="A31" i="4" s="1"/>
  <c r="A30" i="4" a="1"/>
  <c r="A30" i="4" s="1"/>
  <c r="B5" i="3"/>
  <c r="A27" i="3" a="1"/>
  <c r="A27" i="3" s="1"/>
  <c r="B26" i="3" a="1"/>
  <c r="B26" i="3" s="1"/>
  <c r="B21" i="3" a="1"/>
  <c r="A21" i="3" a="1"/>
  <c r="B20" i="3" a="1"/>
  <c r="B20" i="3" s="1"/>
  <c r="B17" i="3" a="1"/>
  <c r="A15" i="3" a="1"/>
  <c r="B14" i="3" a="1"/>
  <c r="B14" i="3" s="1"/>
  <c r="B11" i="3" a="1"/>
  <c r="F12" i="2" a="1"/>
  <c r="F12" i="2" s="1"/>
  <c r="F5" i="2" a="1"/>
  <c r="F5" i="2" s="1"/>
  <c r="B25" i="2" a="1"/>
  <c r="B25" i="2" s="1"/>
  <c r="B28" i="2" a="1"/>
  <c r="B11" i="2" a="1"/>
  <c r="B11" i="2" s="1"/>
  <c r="B18" i="2" a="1"/>
  <c r="A29" i="2" a="1"/>
  <c r="A29" i="2" s="1"/>
  <c r="B19" i="2" a="1"/>
  <c r="A19" i="2" a="1"/>
  <c r="A19" i="2" s="1"/>
  <c r="A12" i="2" a="1"/>
  <c r="A12" i="2" s="1"/>
  <c r="B8" i="2" a="1"/>
  <c r="B15" i="2" a="1"/>
  <c r="A8" i="1" a="1"/>
  <c r="A51" i="4" l="1" a="1"/>
  <c r="B28" i="2"/>
  <c r="B21" i="3"/>
  <c r="A21" i="3"/>
  <c r="A15" i="3"/>
  <c r="B17" i="3"/>
  <c r="F17" i="3" s="1"/>
  <c r="B11" i="3"/>
  <c r="B29" i="2" a="1"/>
  <c r="B29" i="2" s="1"/>
  <c r="F29" i="2" s="1" a="1"/>
  <c r="F29" i="2" s="1"/>
  <c r="F32" i="2" s="1"/>
  <c r="B19" i="2"/>
  <c r="B22" i="2" s="1" a="1"/>
  <c r="B22" i="2" s="1"/>
  <c r="B18" i="2"/>
  <c r="B8" i="2"/>
  <c r="F8" i="2" s="1"/>
  <c r="F22" i="2" s="1"/>
  <c r="B15" i="2"/>
  <c r="F15" i="2"/>
  <c r="A8" i="1"/>
  <c r="C13" i="1" s="1" a="1"/>
  <c r="A51" i="4" l="1"/>
  <c r="A41" i="4" a="1"/>
  <c r="B23" i="3" a="1"/>
  <c r="B23" i="3" s="1"/>
  <c r="B27" i="3" a="1"/>
  <c r="B27" i="3" s="1"/>
  <c r="C27" i="3" s="1" a="1"/>
  <c r="C27" i="3" s="1"/>
  <c r="D27" i="3" s="1" a="1"/>
  <c r="D27" i="3" s="1"/>
  <c r="E27" i="3" s="1" a="1"/>
  <c r="E27" i="3" s="1"/>
  <c r="F11" i="3"/>
  <c r="F23" i="3" s="1"/>
  <c r="F9" i="3" a="1"/>
  <c r="F15" i="3" a="1"/>
  <c r="C13" i="1"/>
  <c r="B14" i="1" s="1" a="1"/>
  <c r="A41" i="4" l="1"/>
  <c r="F27" i="3" a="1"/>
  <c r="B29" i="3" a="1"/>
  <c r="B29" i="3" s="1"/>
  <c r="F15" i="3"/>
  <c r="F9" i="3"/>
  <c r="C15" i="1"/>
  <c r="B14" i="1"/>
  <c r="B5" i="1" s="1" a="1"/>
  <c r="F27" i="3" l="1"/>
  <c r="F29" i="3" s="1"/>
  <c r="B32" i="2" a="1"/>
  <c r="B5" i="1"/>
  <c r="C9" i="1" a="1"/>
  <c r="B32" i="2" l="1"/>
  <c r="C9" i="1"/>
  <c r="B3" i="1" l="1"/>
  <c r="D10" i="1" s="1" a="1"/>
  <c r="D10" i="1" l="1"/>
  <c r="D15" i="1" s="1" a="1"/>
  <c r="D15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<sst xmlns="http://schemas.openxmlformats.org/spreadsheetml/2006/main" count="61" uniqueCount="43">
  <si>
    <t>Smoothed</t>
  </si>
  <si>
    <t>Unsmoothed</t>
  </si>
  <si>
    <t>Decay</t>
  </si>
  <si>
    <t>Price</t>
  </si>
  <si>
    <t>True</t>
  </si>
  <si>
    <t>Return</t>
  </si>
  <si>
    <t>Autocorrelation</t>
  </si>
  <si>
    <t>Unsmoothing Returns</t>
  </si>
  <si>
    <t>Time</t>
  </si>
  <si>
    <t>Portfolio</t>
  </si>
  <si>
    <t>Benchmark</t>
  </si>
  <si>
    <t>Sector 1</t>
  </si>
  <si>
    <t>Sector 2</t>
  </si>
  <si>
    <t>Sector 3</t>
  </si>
  <si>
    <t>Total</t>
  </si>
  <si>
    <t>Q1</t>
  </si>
  <si>
    <t>Q2</t>
  </si>
  <si>
    <t>Q3</t>
  </si>
  <si>
    <t>Q4</t>
  </si>
  <si>
    <t>Carino Smoothing</t>
  </si>
  <si>
    <t>YTD</t>
  </si>
  <si>
    <t>Carino factors</t>
  </si>
  <si>
    <t>Active Return</t>
  </si>
  <si>
    <t>Active Return (Smoothed)</t>
  </si>
  <si>
    <t>Reference</t>
  </si>
  <si>
    <t>https://frongello.com/support/Works/LinkingSydney.pdf</t>
  </si>
  <si>
    <t>Frongello Linking Algorithm</t>
  </si>
  <si>
    <t>Allocation</t>
  </si>
  <si>
    <t>Selection</t>
  </si>
  <si>
    <t>Enter 0 for Frongello, 1 for Reverse Frongello, or 0.5 for Modified Frongello</t>
  </si>
  <si>
    <t>Years</t>
  </si>
  <si>
    <t>Scenarios</t>
  </si>
  <si>
    <t>a</t>
  </si>
  <si>
    <t>b</t>
  </si>
  <si>
    <t>Speed of mean reversion</t>
  </si>
  <si>
    <t>Long-term average rate</t>
  </si>
  <si>
    <t>Volatility</t>
  </si>
  <si>
    <t>σ</t>
  </si>
  <si>
    <t>r₀</t>
  </si>
  <si>
    <t>Initial rate</t>
  </si>
  <si>
    <t>Steps per year</t>
  </si>
  <si>
    <t>Cox–Ingersoll–Ross Model</t>
  </si>
  <si>
    <t>10 max.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</si>
</sst>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0.0"/>
    <numFmt numFmtId="166" formatCode="0.0000"/>
    <numFmt numFmtId="167" formatCode="0.000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164" fontId="0" fillId="0" borderId="0" xfId="1" applyNumberFormat="1" applyFont="1"/>
    <xf numFmtId="165" fontId="0" fillId="0" borderId="0" xfId="1" applyNumberFormat="1" applyFont="1"/>
    <xf numFmtId="165" fontId="0" fillId="0" borderId="0" xfId="1" quotePrefix="1" applyNumberFormat="1" applyFont="1"/>
    <xf numFmtId="0" fontId="2" fillId="0" borderId="0" xfId="0" applyFont="1"/>
    <xf numFmtId="2" fontId="0" fillId="0" borderId="0" xfId="0" applyNumberFormat="1"/>
    <xf numFmtId="164" fontId="0" fillId="2" borderId="0" xfId="1" applyNumberFormat="1" applyFont="1" applyFill="1"/>
    <xf numFmtId="2" fontId="0" fillId="2" borderId="0" xfId="0" applyNumberFormat="1" applyFill="1"/>
    <xf numFmtId="164" fontId="0" fillId="0" borderId="0" xfId="1" quotePrefix="1" applyNumberFormat="1" applyFont="1" applyFill="1"/>
    <xf numFmtId="164" fontId="0" fillId="0" borderId="0" xfId="1" applyNumberFormat="1" applyFont="1" applyFill="1"/>
    <xf numFmtId="0" fontId="3" fillId="0" borderId="0" xfId="0" applyFont="1"/>
    <xf numFmtId="0" fontId="4" fillId="0" borderId="0" xfId="0" applyFont="1"/>
    <xf numFmtId="9" fontId="0" fillId="0" borderId="0" xfId="1" applyFont="1"/>
    <xf numFmtId="9" fontId="2" fillId="0" borderId="0" xfId="1" applyFont="1"/>
    <xf numFmtId="9" fontId="3" fillId="0" borderId="0" xfId="1" applyFont="1"/>
    <xf numFmtId="9" fontId="0" fillId="0" borderId="2" xfId="1" applyFont="1" applyBorder="1"/>
    <xf numFmtId="166" fontId="0" fillId="0" borderId="0" xfId="1" applyNumberFormat="1" applyFont="1"/>
    <xf numFmtId="10" fontId="0" fillId="0" borderId="0" xfId="1" applyNumberFormat="1" applyFont="1"/>
    <xf numFmtId="10" fontId="0" fillId="0" borderId="2" xfId="1" applyNumberFormat="1" applyFont="1" applyBorder="1"/>
    <xf numFmtId="9" fontId="2" fillId="0" borderId="1" xfId="1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0" xfId="1" applyFont="1" applyAlignment="1">
      <alignment horizontal="center"/>
    </xf>
    <xf numFmtId="10" fontId="2" fillId="0" borderId="2" xfId="1" applyNumberFormat="1" applyFont="1" applyBorder="1"/>
    <xf numFmtId="9" fontId="4" fillId="0" borderId="0" xfId="1" applyFont="1"/>
    <xf numFmtId="9" fontId="1" fillId="0" borderId="0" xfId="1" applyFont="1"/>
    <xf numFmtId="9" fontId="1" fillId="0" borderId="1" xfId="1" applyFont="1" applyBorder="1" applyAlignment="1">
      <alignment horizontal="center"/>
    </xf>
    <xf numFmtId="10" fontId="1" fillId="0" borderId="0" xfId="1" applyNumberFormat="1" applyFont="1"/>
    <xf numFmtId="10" fontId="1" fillId="0" borderId="2" xfId="1" applyNumberFormat="1" applyFont="1" applyBorder="1"/>
    <xf numFmtId="10" fontId="1" fillId="0" borderId="1" xfId="1" applyNumberFormat="1" applyFont="1" applyBorder="1" applyAlignment="1">
      <alignment horizontal="center"/>
    </xf>
    <xf numFmtId="166" fontId="1" fillId="0" borderId="0" xfId="1" applyNumberFormat="1" applyFont="1"/>
    <xf numFmtId="10" fontId="0" fillId="0" borderId="0" xfId="0" applyNumberFormat="1"/>
    <xf numFmtId="0" fontId="5" fillId="0" borderId="0" xfId="0" applyFont="1"/>
    <xf numFmtId="0" fontId="0" fillId="2" borderId="0" xfId="0" applyFill="1"/>
    <xf numFmtId="164" fontId="0" fillId="2" borderId="0" xfId="0" applyNumberFormat="1" applyFill="1"/>
    <xf numFmtId="0" fontId="6" fillId="0" borderId="0" xfId="0" applyFont="1"/>
    <xf numFmtId="0" fontId="7" fillId="0" borderId="0" xfId="0" applyFont="1"/>
    <xf numFmtId="167" fontId="6" fillId="0" borderId="0" xfId="1" applyNumberFormat="1" applyFont="1"/>
    <xf numFmtId="166" fontId="6" fillId="0" borderId="0" xfId="0" applyNumberFormat="1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9" fontId="3" fillId="0" borderId="0" xfId="1" applyFont="1" applyAlignment="1">
      <alignment horizontal="left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80B4A131-65E2-49EF-B7DF-06E3F95448D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Unsmooth!$A$13</c:f>
              <c:strCache>
                <c:ptCount val="1"/>
                <c:pt idx="0">
                  <c:v>True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[0]!P_True</c:f>
              <c:numCache>
                <c:formatCode>0.0</c:formatCode>
                <c:ptCount val="13"/>
                <c:pt idx="0">
                  <c:v>100</c:v>
                </c:pt>
                <c:pt idx="1">
                  <c:v>102</c:v>
                </c:pt>
                <c:pt idx="2">
                  <c:v>107.10000000000001</c:v>
                </c:pt>
                <c:pt idx="3">
                  <c:v>85.68</c:v>
                </c:pt>
                <c:pt idx="4">
                  <c:v>77.112000000000009</c:v>
                </c:pt>
                <c:pt idx="5">
                  <c:v>88.67880000000001</c:v>
                </c:pt>
                <c:pt idx="6">
                  <c:v>110.84850000000002</c:v>
                </c:pt>
                <c:pt idx="7">
                  <c:v>140.77759500000002</c:v>
                </c:pt>
                <c:pt idx="8">
                  <c:v>119.66095575000001</c:v>
                </c:pt>
                <c:pt idx="9">
                  <c:v>113.6779079625</c:v>
                </c:pt>
                <c:pt idx="10">
                  <c:v>125.04569875875001</c:v>
                </c:pt>
                <c:pt idx="11">
                  <c:v>140.05118260980001</c:v>
                </c:pt>
                <c:pt idx="12">
                  <c:v>105.03838695735001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8D-409E-BBDF-6C43D6DB026F}"/>
            </c:ext>
          </c:extLst>
        </c:ser>
        <c:ser>
          <c:idx val="1"/>
          <c:order val="1"/>
          <c:tx>
            <c:strRef>
              <c:f>Unsmooth!$A$14</c:f>
              <c:strCache>
                <c:ptCount val="1"/>
                <c:pt idx="0">
                  <c:v>Smoothed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[0]!P_Smoothed</c:f>
              <c:numCache>
                <c:formatCode>0.0</c:formatCode>
                <c:ptCount val="13"/>
                <c:pt idx="0">
                  <c:v>100</c:v>
                </c:pt>
                <c:pt idx="1">
                  <c:v>100.80000000000001</c:v>
                </c:pt>
                <c:pt idx="2">
                  <c:v>103.32000000000001</c:v>
                </c:pt>
                <c:pt idx="3">
                  <c:v>96.26400000000001</c:v>
                </c:pt>
                <c:pt idx="4">
                  <c:v>88.603200000000015</c:v>
                </c:pt>
                <c:pt idx="5">
                  <c:v>88.633440000000007</c:v>
                </c:pt>
                <c:pt idx="6">
                  <c:v>97.519464000000013</c:v>
                </c:pt>
                <c:pt idx="7">
                  <c:v>114.82271640000002</c:v>
                </c:pt>
                <c:pt idx="8">
                  <c:v>116.75801214000001</c:v>
                </c:pt>
                <c:pt idx="9">
                  <c:v>115.52597046900001</c:v>
                </c:pt>
                <c:pt idx="10">
                  <c:v>119.33386178490002</c:v>
                </c:pt>
                <c:pt idx="11">
                  <c:v>127.62079011486001</c:v>
                </c:pt>
                <c:pt idx="12">
                  <c:v>118.58782885185602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8D-409E-BBDF-6C43D6DB026F}"/>
            </c:ext>
          </c:extLst>
        </c:ser>
        <c:ser>
          <c:idx val="2"/>
          <c:order val="2"/>
          <c:tx>
            <c:strRef>
              <c:f>Unsmooth!$A$15</c:f>
              <c:strCache>
                <c:ptCount val="1"/>
                <c:pt idx="0">
                  <c:v>Unsmoothed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[0]!Time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[0]!P_Unsmoothed</c:f>
              <c:numCache>
                <c:formatCode>0.0</c:formatCode>
                <c:ptCount val="13"/>
                <c:pt idx="1">
                  <c:v>100.80000000000001</c:v>
                </c:pt>
                <c:pt idx="2">
                  <c:v>104.56008172862228</c:v>
                </c:pt>
                <c:pt idx="3">
                  <c:v>90.360211660280598</c:v>
                </c:pt>
                <c:pt idx="4">
                  <c:v>82.431077469522819</c:v>
                </c:pt>
                <c:pt idx="5">
                  <c:v>87.226819753081813</c:v>
                </c:pt>
                <c:pt idx="6">
                  <c:v>102.27877774203452</c:v>
                </c:pt>
                <c:pt idx="7">
                  <c:v>126.13890665752774</c:v>
                </c:pt>
                <c:pt idx="8">
                  <c:v>113.60678187104207</c:v>
                </c:pt>
                <c:pt idx="9">
                  <c:v>110.1547782632494</c:v>
                </c:pt>
                <c:pt idx="10">
                  <c:v>117.25433482750979</c:v>
                </c:pt>
                <c:pt idx="11">
                  <c:v>128.49246943635001</c:v>
                </c:pt>
                <c:pt idx="12">
                  <c:v>106.35901299105205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8D-409E-BBDF-6C43D6DB0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0336255"/>
        <c:axId val="1630338175"/>
      </c:lineChart>
      <c:catAx>
        <c:axId val="1630336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8175"/>
        <c:crosses val="autoZero"/>
        <c:auto val="1"/>
        <c:lblAlgn val="ctr"/>
        <c:lblOffset val="100"/>
        <c:noMultiLvlLbl val="0"/>
      </c:catAx>
      <c:valAx>
        <c:axId val="163033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03362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Simulated Path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CIR!$A$41:$DQ$41</c:f>
              <c:numCache>
                <c:formatCode>0.0000%</c:formatCode>
                <c:ptCount val="121"/>
                <c:pt idx="0">
                  <c:v>2.0000000000000018E-2</c:v>
                </c:pt>
                <c:pt idx="1">
                  <c:v>2.0555615285177575E-2</c:v>
                </c:pt>
                <c:pt idx="2">
                  <c:v>2.2082894483219428E-2</c:v>
                </c:pt>
                <c:pt idx="3">
                  <c:v>2.3295972906130835E-2</c:v>
                </c:pt>
                <c:pt idx="4">
                  <c:v>2.4844572440282375E-2</c:v>
                </c:pt>
                <c:pt idx="5">
                  <c:v>2.5819443603461112E-2</c:v>
                </c:pt>
                <c:pt idx="6">
                  <c:v>2.6901956136860417E-2</c:v>
                </c:pt>
                <c:pt idx="7">
                  <c:v>2.8457633422449558E-2</c:v>
                </c:pt>
                <c:pt idx="8">
                  <c:v>2.9064331742899796E-2</c:v>
                </c:pt>
                <c:pt idx="9">
                  <c:v>2.9535240289985554E-2</c:v>
                </c:pt>
                <c:pt idx="10">
                  <c:v>3.0330970078686459E-2</c:v>
                </c:pt>
                <c:pt idx="11">
                  <c:v>3.1080221649706363E-2</c:v>
                </c:pt>
                <c:pt idx="12">
                  <c:v>3.2090451845659285E-2</c:v>
                </c:pt>
                <c:pt idx="13">
                  <c:v>3.374477103327278E-2</c:v>
                </c:pt>
                <c:pt idx="14">
                  <c:v>3.5065449643390645E-2</c:v>
                </c:pt>
                <c:pt idx="15">
                  <c:v>3.4790439973453546E-2</c:v>
                </c:pt>
                <c:pt idx="16">
                  <c:v>3.5253408856260604E-2</c:v>
                </c:pt>
                <c:pt idx="17">
                  <c:v>3.5529154200932389E-2</c:v>
                </c:pt>
                <c:pt idx="18">
                  <c:v>3.598938931554474E-2</c:v>
                </c:pt>
                <c:pt idx="19">
                  <c:v>3.658467511344643E-2</c:v>
                </c:pt>
                <c:pt idx="20">
                  <c:v>3.648503575355222E-2</c:v>
                </c:pt>
                <c:pt idx="21">
                  <c:v>3.7098409142473532E-2</c:v>
                </c:pt>
                <c:pt idx="22">
                  <c:v>3.6900777915387151E-2</c:v>
                </c:pt>
                <c:pt idx="23">
                  <c:v>3.8537817304703736E-2</c:v>
                </c:pt>
                <c:pt idx="24">
                  <c:v>3.8221967897154929E-2</c:v>
                </c:pt>
                <c:pt idx="25">
                  <c:v>3.8501991604148245E-2</c:v>
                </c:pt>
                <c:pt idx="26">
                  <c:v>3.8335799442014595E-2</c:v>
                </c:pt>
                <c:pt idx="27">
                  <c:v>3.850901943683116E-2</c:v>
                </c:pt>
                <c:pt idx="28">
                  <c:v>3.8824102420810691E-2</c:v>
                </c:pt>
                <c:pt idx="29">
                  <c:v>3.8825735851469645E-2</c:v>
                </c:pt>
                <c:pt idx="30">
                  <c:v>3.9359222536992977E-2</c:v>
                </c:pt>
                <c:pt idx="31">
                  <c:v>3.9862558565518569E-2</c:v>
                </c:pt>
                <c:pt idx="32">
                  <c:v>4.0525898213962019E-2</c:v>
                </c:pt>
                <c:pt idx="33">
                  <c:v>4.1479983716160795E-2</c:v>
                </c:pt>
                <c:pt idx="34">
                  <c:v>4.1551405060306079E-2</c:v>
                </c:pt>
                <c:pt idx="35">
                  <c:v>4.202260125982038E-2</c:v>
                </c:pt>
                <c:pt idx="36">
                  <c:v>4.0829416246235262E-2</c:v>
                </c:pt>
                <c:pt idx="37">
                  <c:v>4.0880824432584673E-2</c:v>
                </c:pt>
                <c:pt idx="38">
                  <c:v>4.0175561927019876E-2</c:v>
                </c:pt>
                <c:pt idx="39">
                  <c:v>4.0793976008007826E-2</c:v>
                </c:pt>
                <c:pt idx="40">
                  <c:v>4.1646435238640755E-2</c:v>
                </c:pt>
                <c:pt idx="41">
                  <c:v>4.2545292234769327E-2</c:v>
                </c:pt>
                <c:pt idx="42">
                  <c:v>4.2609525276446458E-2</c:v>
                </c:pt>
                <c:pt idx="43">
                  <c:v>4.3507964945161959E-2</c:v>
                </c:pt>
                <c:pt idx="44">
                  <c:v>4.3753492121622495E-2</c:v>
                </c:pt>
                <c:pt idx="45">
                  <c:v>4.4897852773200686E-2</c:v>
                </c:pt>
                <c:pt idx="46">
                  <c:v>4.4482289730779501E-2</c:v>
                </c:pt>
                <c:pt idx="47">
                  <c:v>4.6042501441660777E-2</c:v>
                </c:pt>
                <c:pt idx="48">
                  <c:v>4.6861443267634639E-2</c:v>
                </c:pt>
                <c:pt idx="49">
                  <c:v>4.7217523875630274E-2</c:v>
                </c:pt>
                <c:pt idx="50">
                  <c:v>4.8265625514748889E-2</c:v>
                </c:pt>
                <c:pt idx="51">
                  <c:v>4.7754974622247426E-2</c:v>
                </c:pt>
                <c:pt idx="52">
                  <c:v>4.7351373965421661E-2</c:v>
                </c:pt>
                <c:pt idx="53">
                  <c:v>4.7230301280824172E-2</c:v>
                </c:pt>
                <c:pt idx="54">
                  <c:v>4.8545302108333299E-2</c:v>
                </c:pt>
                <c:pt idx="55">
                  <c:v>4.9340773193809806E-2</c:v>
                </c:pt>
                <c:pt idx="56">
                  <c:v>4.8089779247102893E-2</c:v>
                </c:pt>
                <c:pt idx="57">
                  <c:v>4.9022280723400202E-2</c:v>
                </c:pt>
                <c:pt idx="58">
                  <c:v>4.8866622377957025E-2</c:v>
                </c:pt>
                <c:pt idx="59">
                  <c:v>4.9312306511740012E-2</c:v>
                </c:pt>
                <c:pt idx="60">
                  <c:v>5.0503862123612686E-2</c:v>
                </c:pt>
                <c:pt idx="61">
                  <c:v>5.0429360104173648E-2</c:v>
                </c:pt>
                <c:pt idx="62">
                  <c:v>4.9683896884348044E-2</c:v>
                </c:pt>
                <c:pt idx="63">
                  <c:v>4.9293469896843023E-2</c:v>
                </c:pt>
                <c:pt idx="64">
                  <c:v>4.8583883653158244E-2</c:v>
                </c:pt>
                <c:pt idx="65">
                  <c:v>4.9719054414549158E-2</c:v>
                </c:pt>
                <c:pt idx="66">
                  <c:v>5.0413709737280321E-2</c:v>
                </c:pt>
                <c:pt idx="67">
                  <c:v>4.9579438117418162E-2</c:v>
                </c:pt>
                <c:pt idx="68">
                  <c:v>5.0128070523955293E-2</c:v>
                </c:pt>
                <c:pt idx="69">
                  <c:v>4.9844478904986111E-2</c:v>
                </c:pt>
                <c:pt idx="70">
                  <c:v>5.0216484109614878E-2</c:v>
                </c:pt>
                <c:pt idx="71">
                  <c:v>4.9923967096407562E-2</c:v>
                </c:pt>
                <c:pt idx="72">
                  <c:v>4.9937245100733163E-2</c:v>
                </c:pt>
                <c:pt idx="73">
                  <c:v>5.1973319917880234E-2</c:v>
                </c:pt>
                <c:pt idx="74">
                  <c:v>5.2295719759145154E-2</c:v>
                </c:pt>
                <c:pt idx="75">
                  <c:v>5.299194996286638E-2</c:v>
                </c:pt>
                <c:pt idx="76">
                  <c:v>5.2989243511830431E-2</c:v>
                </c:pt>
                <c:pt idx="77">
                  <c:v>5.2919456390411845E-2</c:v>
                </c:pt>
                <c:pt idx="78">
                  <c:v>5.3489049886052298E-2</c:v>
                </c:pt>
                <c:pt idx="79">
                  <c:v>5.1517504830419281E-2</c:v>
                </c:pt>
                <c:pt idx="80">
                  <c:v>5.2083686623087377E-2</c:v>
                </c:pt>
                <c:pt idx="81">
                  <c:v>5.0974939277893538E-2</c:v>
                </c:pt>
                <c:pt idx="82">
                  <c:v>5.0739848906468543E-2</c:v>
                </c:pt>
                <c:pt idx="83">
                  <c:v>5.12420717903872E-2</c:v>
                </c:pt>
                <c:pt idx="84">
                  <c:v>5.075542911148534E-2</c:v>
                </c:pt>
                <c:pt idx="85">
                  <c:v>5.0582916820985924E-2</c:v>
                </c:pt>
                <c:pt idx="86">
                  <c:v>5.062558142275142E-2</c:v>
                </c:pt>
                <c:pt idx="87">
                  <c:v>5.0059202392561231E-2</c:v>
                </c:pt>
                <c:pt idx="88">
                  <c:v>4.9965224070663172E-2</c:v>
                </c:pt>
                <c:pt idx="89">
                  <c:v>5.0153546756296574E-2</c:v>
                </c:pt>
                <c:pt idx="90">
                  <c:v>4.9600378886336172E-2</c:v>
                </c:pt>
                <c:pt idx="91">
                  <c:v>4.9987760558740657E-2</c:v>
                </c:pt>
                <c:pt idx="92">
                  <c:v>5.0047382720678879E-2</c:v>
                </c:pt>
                <c:pt idx="93">
                  <c:v>5.0333188096807202E-2</c:v>
                </c:pt>
                <c:pt idx="94">
                  <c:v>5.090826088432121E-2</c:v>
                </c:pt>
                <c:pt idx="95">
                  <c:v>5.1355884905870175E-2</c:v>
                </c:pt>
                <c:pt idx="96">
                  <c:v>5.1836928806213267E-2</c:v>
                </c:pt>
                <c:pt idx="97">
                  <c:v>5.1630162110267053E-2</c:v>
                </c:pt>
                <c:pt idx="98">
                  <c:v>5.0778656172764114E-2</c:v>
                </c:pt>
                <c:pt idx="99">
                  <c:v>5.0647270887373086E-2</c:v>
                </c:pt>
                <c:pt idx="100">
                  <c:v>5.0940648584015591E-2</c:v>
                </c:pt>
                <c:pt idx="101">
                  <c:v>5.1623301670622679E-2</c:v>
                </c:pt>
                <c:pt idx="102">
                  <c:v>5.0683896094866565E-2</c:v>
                </c:pt>
                <c:pt idx="103">
                  <c:v>5.0508907490865784E-2</c:v>
                </c:pt>
                <c:pt idx="104">
                  <c:v>5.0607424787662669E-2</c:v>
                </c:pt>
                <c:pt idx="105">
                  <c:v>5.0738851408596908E-2</c:v>
                </c:pt>
                <c:pt idx="106">
                  <c:v>5.0625294168256563E-2</c:v>
                </c:pt>
                <c:pt idx="107">
                  <c:v>5.0155321651937923E-2</c:v>
                </c:pt>
                <c:pt idx="108">
                  <c:v>5.1215775207780867E-2</c:v>
                </c:pt>
                <c:pt idx="109">
                  <c:v>5.1566647170447455E-2</c:v>
                </c:pt>
                <c:pt idx="110">
                  <c:v>5.1160560072459393E-2</c:v>
                </c:pt>
                <c:pt idx="111">
                  <c:v>5.0523678704724739E-2</c:v>
                </c:pt>
                <c:pt idx="112">
                  <c:v>4.983879537213598E-2</c:v>
                </c:pt>
                <c:pt idx="113">
                  <c:v>5.0257552709246589E-2</c:v>
                </c:pt>
                <c:pt idx="114">
                  <c:v>5.0288275700602014E-2</c:v>
                </c:pt>
                <c:pt idx="115">
                  <c:v>5.1194447562488365E-2</c:v>
                </c:pt>
                <c:pt idx="116">
                  <c:v>5.0163490070291417E-2</c:v>
                </c:pt>
                <c:pt idx="117">
                  <c:v>5.0100005925319602E-2</c:v>
                </c:pt>
                <c:pt idx="118">
                  <c:v>5.020357551200072E-2</c:v>
                </c:pt>
                <c:pt idx="119">
                  <c:v>4.9560061751713791E-2</c:v>
                </c:pt>
                <c:pt idx="120">
                  <c:v>5.0391583129056006E-2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00-4EDE-BE9E-F92962D47D3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CIR!$A$42:$DQ$42</c:f>
              <c:numCache>
                <c:formatCode>0.0000%</c:formatCode>
                <c:ptCount val="121"/>
                <c:pt idx="0">
                  <c:v>2.0000000000000018E-2</c:v>
                </c:pt>
                <c:pt idx="1">
                  <c:v>2.1489219283787442E-2</c:v>
                </c:pt>
                <c:pt idx="2">
                  <c:v>2.346383485344461E-2</c:v>
                </c:pt>
                <c:pt idx="3">
                  <c:v>2.3702142544217875E-2</c:v>
                </c:pt>
                <c:pt idx="4">
                  <c:v>2.4910083106591152E-2</c:v>
                </c:pt>
                <c:pt idx="5">
                  <c:v>2.5755174176662843E-2</c:v>
                </c:pt>
                <c:pt idx="6">
                  <c:v>2.6847241694463175E-2</c:v>
                </c:pt>
                <c:pt idx="7">
                  <c:v>2.8377864303958056E-2</c:v>
                </c:pt>
                <c:pt idx="8">
                  <c:v>2.8558533924980978E-2</c:v>
                </c:pt>
                <c:pt idx="9">
                  <c:v>2.9610545107551012E-2</c:v>
                </c:pt>
                <c:pt idx="10">
                  <c:v>3.0683741575249446E-2</c:v>
                </c:pt>
                <c:pt idx="11">
                  <c:v>3.1868048044009223E-2</c:v>
                </c:pt>
                <c:pt idx="12">
                  <c:v>3.2393257947612719E-2</c:v>
                </c:pt>
                <c:pt idx="13">
                  <c:v>3.3330876131747234E-2</c:v>
                </c:pt>
                <c:pt idx="14">
                  <c:v>3.4178753247427363E-2</c:v>
                </c:pt>
                <c:pt idx="15">
                  <c:v>3.5005161665098372E-2</c:v>
                </c:pt>
                <c:pt idx="16">
                  <c:v>3.5538167389010722E-2</c:v>
                </c:pt>
                <c:pt idx="17">
                  <c:v>3.612198988887183E-2</c:v>
                </c:pt>
                <c:pt idx="18">
                  <c:v>3.7457991412772618E-2</c:v>
                </c:pt>
                <c:pt idx="19">
                  <c:v>3.7821840437042731E-2</c:v>
                </c:pt>
                <c:pt idx="20">
                  <c:v>3.8314461706421055E-2</c:v>
                </c:pt>
                <c:pt idx="21">
                  <c:v>3.842996506670171E-2</c:v>
                </c:pt>
                <c:pt idx="22">
                  <c:v>3.877971395996993E-2</c:v>
                </c:pt>
                <c:pt idx="23">
                  <c:v>3.9030119457674983E-2</c:v>
                </c:pt>
                <c:pt idx="24">
                  <c:v>4.0110674893891973E-2</c:v>
                </c:pt>
                <c:pt idx="25">
                  <c:v>4.0732727290934578E-2</c:v>
                </c:pt>
                <c:pt idx="26">
                  <c:v>4.0441880987303724E-2</c:v>
                </c:pt>
                <c:pt idx="27">
                  <c:v>4.181144824208749E-2</c:v>
                </c:pt>
                <c:pt idx="28">
                  <c:v>4.2718934230213668E-2</c:v>
                </c:pt>
                <c:pt idx="29">
                  <c:v>4.3651090389289493E-2</c:v>
                </c:pt>
                <c:pt idx="30">
                  <c:v>4.3841344044750041E-2</c:v>
                </c:pt>
                <c:pt idx="31">
                  <c:v>4.334625719552565E-2</c:v>
                </c:pt>
                <c:pt idx="32">
                  <c:v>4.3025737463924019E-2</c:v>
                </c:pt>
                <c:pt idx="33">
                  <c:v>4.3798350508525763E-2</c:v>
                </c:pt>
                <c:pt idx="34">
                  <c:v>4.3613068053352411E-2</c:v>
                </c:pt>
                <c:pt idx="35">
                  <c:v>4.3840850842188583E-2</c:v>
                </c:pt>
                <c:pt idx="36">
                  <c:v>4.4143803918691216E-2</c:v>
                </c:pt>
                <c:pt idx="37">
                  <c:v>4.5318959188800134E-2</c:v>
                </c:pt>
                <c:pt idx="38">
                  <c:v>4.5770749333180927E-2</c:v>
                </c:pt>
                <c:pt idx="39">
                  <c:v>4.5451285335949221E-2</c:v>
                </c:pt>
                <c:pt idx="40">
                  <c:v>4.6007021208239518E-2</c:v>
                </c:pt>
                <c:pt idx="41">
                  <c:v>4.507455968027152E-2</c:v>
                </c:pt>
                <c:pt idx="42">
                  <c:v>4.5302130968456034E-2</c:v>
                </c:pt>
                <c:pt idx="43">
                  <c:v>4.4841963875722257E-2</c:v>
                </c:pt>
                <c:pt idx="44">
                  <c:v>4.4865274911666475E-2</c:v>
                </c:pt>
                <c:pt idx="45">
                  <c:v>4.4217828850716456E-2</c:v>
                </c:pt>
                <c:pt idx="46">
                  <c:v>4.3753485987214846E-2</c:v>
                </c:pt>
                <c:pt idx="47">
                  <c:v>4.3891038636724167E-2</c:v>
                </c:pt>
                <c:pt idx="48">
                  <c:v>4.3482759773177948E-2</c:v>
                </c:pt>
                <c:pt idx="49">
                  <c:v>4.4305305106867587E-2</c:v>
                </c:pt>
                <c:pt idx="50">
                  <c:v>4.5288916018615621E-2</c:v>
                </c:pt>
                <c:pt idx="51">
                  <c:v>4.5553177543129042E-2</c:v>
                </c:pt>
                <c:pt idx="52">
                  <c:v>4.5741393168520883E-2</c:v>
                </c:pt>
                <c:pt idx="53">
                  <c:v>4.5708825824704924E-2</c:v>
                </c:pt>
                <c:pt idx="54">
                  <c:v>4.6517522493943808E-2</c:v>
                </c:pt>
                <c:pt idx="55">
                  <c:v>4.7009830879444658E-2</c:v>
                </c:pt>
                <c:pt idx="56">
                  <c:v>4.7193435123713323E-2</c:v>
                </c:pt>
                <c:pt idx="57">
                  <c:v>4.6582713931037967E-2</c:v>
                </c:pt>
                <c:pt idx="58">
                  <c:v>4.7390533309808358E-2</c:v>
                </c:pt>
                <c:pt idx="59">
                  <c:v>4.8784020418786156E-2</c:v>
                </c:pt>
                <c:pt idx="60">
                  <c:v>4.8228053491975675E-2</c:v>
                </c:pt>
                <c:pt idx="61">
                  <c:v>4.799703493678753E-2</c:v>
                </c:pt>
                <c:pt idx="62">
                  <c:v>4.8430886832662168E-2</c:v>
                </c:pt>
                <c:pt idx="63">
                  <c:v>4.9311536116499077E-2</c:v>
                </c:pt>
                <c:pt idx="64">
                  <c:v>4.8166497546131115E-2</c:v>
                </c:pt>
                <c:pt idx="65">
                  <c:v>4.8527188320328429E-2</c:v>
                </c:pt>
                <c:pt idx="66">
                  <c:v>4.7943742020772229E-2</c:v>
                </c:pt>
                <c:pt idx="67">
                  <c:v>4.8923876145605449E-2</c:v>
                </c:pt>
                <c:pt idx="68">
                  <c:v>4.9636772621093561E-2</c:v>
                </c:pt>
                <c:pt idx="69">
                  <c:v>5.0042396040052228E-2</c:v>
                </c:pt>
                <c:pt idx="70">
                  <c:v>5.0606401197625717E-2</c:v>
                </c:pt>
                <c:pt idx="71">
                  <c:v>5.0153533182537346E-2</c:v>
                </c:pt>
                <c:pt idx="72">
                  <c:v>4.9106062217433522E-2</c:v>
                </c:pt>
                <c:pt idx="73">
                  <c:v>4.901050261646156E-2</c:v>
                </c:pt>
                <c:pt idx="74">
                  <c:v>4.7518143162885274E-2</c:v>
                </c:pt>
                <c:pt idx="75">
                  <c:v>4.7932884185539093E-2</c:v>
                </c:pt>
                <c:pt idx="76">
                  <c:v>4.8726203444592331E-2</c:v>
                </c:pt>
                <c:pt idx="77">
                  <c:v>4.8603417927266745E-2</c:v>
                </c:pt>
                <c:pt idx="78">
                  <c:v>4.8855718553232119E-2</c:v>
                </c:pt>
                <c:pt idx="79">
                  <c:v>4.8903423949908653E-2</c:v>
                </c:pt>
                <c:pt idx="80">
                  <c:v>4.981366624991157E-2</c:v>
                </c:pt>
                <c:pt idx="81">
                  <c:v>5.1036637487255065E-2</c:v>
                </c:pt>
                <c:pt idx="82">
                  <c:v>5.1134760580345384E-2</c:v>
                </c:pt>
                <c:pt idx="83">
                  <c:v>5.0505431230170927E-2</c:v>
                </c:pt>
                <c:pt idx="84">
                  <c:v>4.9850279516955975E-2</c:v>
                </c:pt>
                <c:pt idx="85">
                  <c:v>5.01562826307691E-2</c:v>
                </c:pt>
                <c:pt idx="86">
                  <c:v>5.1222241382667733E-2</c:v>
                </c:pt>
                <c:pt idx="87">
                  <c:v>5.0217599245193423E-2</c:v>
                </c:pt>
                <c:pt idx="88">
                  <c:v>5.0558728679637177E-2</c:v>
                </c:pt>
                <c:pt idx="89">
                  <c:v>5.0257054060242723E-2</c:v>
                </c:pt>
                <c:pt idx="90">
                  <c:v>5.006026902249805E-2</c:v>
                </c:pt>
                <c:pt idx="91">
                  <c:v>4.9796997268131582E-2</c:v>
                </c:pt>
                <c:pt idx="92">
                  <c:v>5.0577995109681861E-2</c:v>
                </c:pt>
                <c:pt idx="93">
                  <c:v>5.1293152361284733E-2</c:v>
                </c:pt>
                <c:pt idx="94">
                  <c:v>5.160247168347154E-2</c:v>
                </c:pt>
                <c:pt idx="95">
                  <c:v>5.1716562084024087E-2</c:v>
                </c:pt>
                <c:pt idx="96">
                  <c:v>5.2560797958078664E-2</c:v>
                </c:pt>
                <c:pt idx="97">
                  <c:v>5.2258575367819526E-2</c:v>
                </c:pt>
                <c:pt idx="98">
                  <c:v>5.1375515393762505E-2</c:v>
                </c:pt>
                <c:pt idx="99">
                  <c:v>5.1587542496706051E-2</c:v>
                </c:pt>
                <c:pt idx="100">
                  <c:v>4.9778604592711106E-2</c:v>
                </c:pt>
                <c:pt idx="101">
                  <c:v>4.9416641848766263E-2</c:v>
                </c:pt>
                <c:pt idx="102">
                  <c:v>5.0386608782751585E-2</c:v>
                </c:pt>
                <c:pt idx="103">
                  <c:v>5.0813865329155217E-2</c:v>
                </c:pt>
                <c:pt idx="104">
                  <c:v>5.0617943334923865E-2</c:v>
                </c:pt>
                <c:pt idx="105">
                  <c:v>5.0094056711377455E-2</c:v>
                </c:pt>
                <c:pt idx="106">
                  <c:v>4.959101994985593E-2</c:v>
                </c:pt>
                <c:pt idx="107">
                  <c:v>5.0761463613971713E-2</c:v>
                </c:pt>
                <c:pt idx="108">
                  <c:v>5.1497976836696324E-2</c:v>
                </c:pt>
                <c:pt idx="109">
                  <c:v>5.0815293560106722E-2</c:v>
                </c:pt>
                <c:pt idx="110">
                  <c:v>4.9128828420566206E-2</c:v>
                </c:pt>
                <c:pt idx="111">
                  <c:v>4.9505974078102755E-2</c:v>
                </c:pt>
                <c:pt idx="112">
                  <c:v>4.9982915414534146E-2</c:v>
                </c:pt>
                <c:pt idx="113">
                  <c:v>4.8563964885056876E-2</c:v>
                </c:pt>
                <c:pt idx="114">
                  <c:v>4.832017161196922E-2</c:v>
                </c:pt>
                <c:pt idx="115">
                  <c:v>4.8975796634318058E-2</c:v>
                </c:pt>
                <c:pt idx="116">
                  <c:v>4.8183744348689439E-2</c:v>
                </c:pt>
                <c:pt idx="117">
                  <c:v>4.8556780895909091E-2</c:v>
                </c:pt>
                <c:pt idx="118">
                  <c:v>4.9803851277914868E-2</c:v>
                </c:pt>
                <c:pt idx="119">
                  <c:v>4.959253529681984E-2</c:v>
                </c:pt>
                <c:pt idx="120">
                  <c:v>5.001234776069774E-2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3400-4EDE-BE9E-F92962D47D3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CIR!$A$43:$DQ$43</c:f>
              <c:numCache>
                <c:formatCode>0.0000%</c:formatCode>
                <c:ptCount val="121"/>
                <c:pt idx="0">
                  <c:v>2.0000000000000018E-2</c:v>
                </c:pt>
                <c:pt idx="1">
                  <c:v>2.1105730136473433E-2</c:v>
                </c:pt>
                <c:pt idx="2">
                  <c:v>2.2204881531797449E-2</c:v>
                </c:pt>
                <c:pt idx="3">
                  <c:v>2.3544203050700485E-2</c:v>
                </c:pt>
                <c:pt idx="4">
                  <c:v>2.451813088041721E-2</c:v>
                </c:pt>
                <c:pt idx="5">
                  <c:v>2.5564024577364064E-2</c:v>
                </c:pt>
                <c:pt idx="6">
                  <c:v>2.6779835404458385E-2</c:v>
                </c:pt>
                <c:pt idx="7">
                  <c:v>2.7568046245893374E-2</c:v>
                </c:pt>
                <c:pt idx="8">
                  <c:v>2.9091049509006206E-2</c:v>
                </c:pt>
                <c:pt idx="9">
                  <c:v>3.097930019331141E-2</c:v>
                </c:pt>
                <c:pt idx="10">
                  <c:v>3.2077161425000611E-2</c:v>
                </c:pt>
                <c:pt idx="11">
                  <c:v>3.3436295945601158E-2</c:v>
                </c:pt>
                <c:pt idx="12">
                  <c:v>3.3998738001875362E-2</c:v>
                </c:pt>
                <c:pt idx="13">
                  <c:v>3.390356090855251E-2</c:v>
                </c:pt>
                <c:pt idx="14">
                  <c:v>3.5284410321037907E-2</c:v>
                </c:pt>
                <c:pt idx="15">
                  <c:v>3.5421925158803935E-2</c:v>
                </c:pt>
                <c:pt idx="16">
                  <c:v>3.5191091606632252E-2</c:v>
                </c:pt>
                <c:pt idx="17">
                  <c:v>3.5968763371445833E-2</c:v>
                </c:pt>
                <c:pt idx="18">
                  <c:v>3.5780833384343458E-2</c:v>
                </c:pt>
                <c:pt idx="19">
                  <c:v>3.6361603036451751E-2</c:v>
                </c:pt>
                <c:pt idx="20">
                  <c:v>3.7090316038501658E-2</c:v>
                </c:pt>
                <c:pt idx="21">
                  <c:v>3.9027821440749344E-2</c:v>
                </c:pt>
                <c:pt idx="22">
                  <c:v>4.0397690084510218E-2</c:v>
                </c:pt>
                <c:pt idx="23">
                  <c:v>4.1496788035392917E-2</c:v>
                </c:pt>
                <c:pt idx="24">
                  <c:v>4.123659416310832E-2</c:v>
                </c:pt>
                <c:pt idx="25">
                  <c:v>4.2100450960670832E-2</c:v>
                </c:pt>
                <c:pt idx="26">
                  <c:v>4.2794952557800414E-2</c:v>
                </c:pt>
                <c:pt idx="27">
                  <c:v>4.3042528813595382E-2</c:v>
                </c:pt>
                <c:pt idx="28">
                  <c:v>4.3602356993254654E-2</c:v>
                </c:pt>
                <c:pt idx="29">
                  <c:v>4.3980097621368675E-2</c:v>
                </c:pt>
                <c:pt idx="30">
                  <c:v>4.4881345828003072E-2</c:v>
                </c:pt>
                <c:pt idx="31">
                  <c:v>4.5426561883835648E-2</c:v>
                </c:pt>
                <c:pt idx="32">
                  <c:v>4.6500603235805293E-2</c:v>
                </c:pt>
                <c:pt idx="33">
                  <c:v>4.5812228300781799E-2</c:v>
                </c:pt>
                <c:pt idx="34">
                  <c:v>4.6131223044365788E-2</c:v>
                </c:pt>
                <c:pt idx="35">
                  <c:v>4.693063982099166E-2</c:v>
                </c:pt>
                <c:pt idx="36">
                  <c:v>4.6362938914694674E-2</c:v>
                </c:pt>
                <c:pt idx="37">
                  <c:v>4.6061737248667578E-2</c:v>
                </c:pt>
                <c:pt idx="38">
                  <c:v>4.7040341477360803E-2</c:v>
                </c:pt>
                <c:pt idx="39">
                  <c:v>4.7552289927757174E-2</c:v>
                </c:pt>
                <c:pt idx="40">
                  <c:v>4.7402399787368044E-2</c:v>
                </c:pt>
                <c:pt idx="41">
                  <c:v>4.902090415809579E-2</c:v>
                </c:pt>
                <c:pt idx="42">
                  <c:v>4.9655490574029626E-2</c:v>
                </c:pt>
                <c:pt idx="43">
                  <c:v>5.0224226558664098E-2</c:v>
                </c:pt>
                <c:pt idx="44">
                  <c:v>5.0055193386229657E-2</c:v>
                </c:pt>
                <c:pt idx="45">
                  <c:v>4.9808918754917775E-2</c:v>
                </c:pt>
                <c:pt idx="46">
                  <c:v>5.0717741183310183E-2</c:v>
                </c:pt>
                <c:pt idx="47">
                  <c:v>5.1711803040711546E-2</c:v>
                </c:pt>
                <c:pt idx="48">
                  <c:v>5.0813852369239854E-2</c:v>
                </c:pt>
                <c:pt idx="49">
                  <c:v>5.0163010388640572E-2</c:v>
                </c:pt>
                <c:pt idx="50">
                  <c:v>5.0741733975124825E-2</c:v>
                </c:pt>
                <c:pt idx="51">
                  <c:v>4.9911591369671049E-2</c:v>
                </c:pt>
                <c:pt idx="52">
                  <c:v>5.0249028110052496E-2</c:v>
                </c:pt>
                <c:pt idx="53">
                  <c:v>5.0272413208619637E-2</c:v>
                </c:pt>
                <c:pt idx="54">
                  <c:v>5.0824742974028503E-2</c:v>
                </c:pt>
                <c:pt idx="55">
                  <c:v>5.1062353288733098E-2</c:v>
                </c:pt>
                <c:pt idx="56">
                  <c:v>5.0244440184990413E-2</c:v>
                </c:pt>
                <c:pt idx="57">
                  <c:v>5.0893185132041774E-2</c:v>
                </c:pt>
                <c:pt idx="58">
                  <c:v>5.0529947069283265E-2</c:v>
                </c:pt>
                <c:pt idx="59">
                  <c:v>5.0356645264886701E-2</c:v>
                </c:pt>
                <c:pt idx="60">
                  <c:v>5.0090718496948572E-2</c:v>
                </c:pt>
                <c:pt idx="61">
                  <c:v>5.0900079458462644E-2</c:v>
                </c:pt>
                <c:pt idx="62">
                  <c:v>5.1753386106723642E-2</c:v>
                </c:pt>
                <c:pt idx="63">
                  <c:v>5.2569048529250262E-2</c:v>
                </c:pt>
                <c:pt idx="64">
                  <c:v>5.3384515062200766E-2</c:v>
                </c:pt>
                <c:pt idx="65">
                  <c:v>5.2883724157840817E-2</c:v>
                </c:pt>
                <c:pt idx="66">
                  <c:v>5.2239802618113229E-2</c:v>
                </c:pt>
                <c:pt idx="67">
                  <c:v>5.2049463004403274E-2</c:v>
                </c:pt>
                <c:pt idx="68">
                  <c:v>5.0548560594366965E-2</c:v>
                </c:pt>
                <c:pt idx="69">
                  <c:v>4.9837649791536931E-2</c:v>
                </c:pt>
                <c:pt idx="70">
                  <c:v>4.9834470214840554E-2</c:v>
                </c:pt>
                <c:pt idx="71">
                  <c:v>4.9486387246828967E-2</c:v>
                </c:pt>
                <c:pt idx="72">
                  <c:v>4.9999437770264166E-2</c:v>
                </c:pt>
                <c:pt idx="73">
                  <c:v>4.9562627361066092E-2</c:v>
                </c:pt>
                <c:pt idx="74">
                  <c:v>4.9553392208402824E-2</c:v>
                </c:pt>
                <c:pt idx="75">
                  <c:v>5.0764315201579313E-2</c:v>
                </c:pt>
                <c:pt idx="76">
                  <c:v>4.9778501970658473E-2</c:v>
                </c:pt>
                <c:pt idx="77">
                  <c:v>4.9211865072942729E-2</c:v>
                </c:pt>
                <c:pt idx="78">
                  <c:v>4.9039432360873603E-2</c:v>
                </c:pt>
                <c:pt idx="79">
                  <c:v>4.9579059600578512E-2</c:v>
                </c:pt>
                <c:pt idx="80">
                  <c:v>4.9992259210422718E-2</c:v>
                </c:pt>
                <c:pt idx="81">
                  <c:v>5.0559519370101835E-2</c:v>
                </c:pt>
                <c:pt idx="82">
                  <c:v>5.0168073155719028E-2</c:v>
                </c:pt>
                <c:pt idx="83">
                  <c:v>5.100817693723303E-2</c:v>
                </c:pt>
                <c:pt idx="84">
                  <c:v>5.0861383843426644E-2</c:v>
                </c:pt>
                <c:pt idx="85">
                  <c:v>5.2509205750752574E-2</c:v>
                </c:pt>
                <c:pt idx="86">
                  <c:v>5.267237368355504E-2</c:v>
                </c:pt>
                <c:pt idx="87">
                  <c:v>5.2555504841139467E-2</c:v>
                </c:pt>
                <c:pt idx="88">
                  <c:v>5.3379160590365737E-2</c:v>
                </c:pt>
                <c:pt idx="89">
                  <c:v>5.3375172235916146E-2</c:v>
                </c:pt>
                <c:pt idx="90">
                  <c:v>5.2835387255723232E-2</c:v>
                </c:pt>
                <c:pt idx="91">
                  <c:v>5.2634507209709636E-2</c:v>
                </c:pt>
                <c:pt idx="92">
                  <c:v>5.2874005165073568E-2</c:v>
                </c:pt>
                <c:pt idx="93">
                  <c:v>5.4223382656710006E-2</c:v>
                </c:pt>
                <c:pt idx="94">
                  <c:v>5.4501113218811348E-2</c:v>
                </c:pt>
                <c:pt idx="95">
                  <c:v>5.5406054741958588E-2</c:v>
                </c:pt>
                <c:pt idx="96">
                  <c:v>5.4975235865038385E-2</c:v>
                </c:pt>
                <c:pt idx="97">
                  <c:v>5.5031377752577049E-2</c:v>
                </c:pt>
                <c:pt idx="98">
                  <c:v>5.4254905804076659E-2</c:v>
                </c:pt>
                <c:pt idx="99">
                  <c:v>5.3772702655145554E-2</c:v>
                </c:pt>
                <c:pt idx="100">
                  <c:v>5.3819577678039909E-2</c:v>
                </c:pt>
                <c:pt idx="101">
                  <c:v>5.2886180805287175E-2</c:v>
                </c:pt>
                <c:pt idx="102">
                  <c:v>5.2152094191171061E-2</c:v>
                </c:pt>
                <c:pt idx="103">
                  <c:v>5.2531615995260905E-2</c:v>
                </c:pt>
                <c:pt idx="104">
                  <c:v>5.2606242502792666E-2</c:v>
                </c:pt>
                <c:pt idx="105">
                  <c:v>5.15371973563723E-2</c:v>
                </c:pt>
                <c:pt idx="106">
                  <c:v>5.2250330518585963E-2</c:v>
                </c:pt>
                <c:pt idx="107">
                  <c:v>5.1407541379370425E-2</c:v>
                </c:pt>
                <c:pt idx="108">
                  <c:v>5.1701536691677763E-2</c:v>
                </c:pt>
                <c:pt idx="109">
                  <c:v>5.0756935922650959E-2</c:v>
                </c:pt>
                <c:pt idx="110">
                  <c:v>5.0779029185233693E-2</c:v>
                </c:pt>
                <c:pt idx="111">
                  <c:v>5.083648771988436E-2</c:v>
                </c:pt>
                <c:pt idx="112">
                  <c:v>5.135154412902132E-2</c:v>
                </c:pt>
                <c:pt idx="113">
                  <c:v>5.2362525944557481E-2</c:v>
                </c:pt>
                <c:pt idx="114">
                  <c:v>5.2449598192089386E-2</c:v>
                </c:pt>
                <c:pt idx="115">
                  <c:v>5.3283529161068266E-2</c:v>
                </c:pt>
                <c:pt idx="116">
                  <c:v>5.3896612763237872E-2</c:v>
                </c:pt>
                <c:pt idx="117">
                  <c:v>5.3324133255690631E-2</c:v>
                </c:pt>
                <c:pt idx="118">
                  <c:v>5.4980337626031384E-2</c:v>
                </c:pt>
                <c:pt idx="119">
                  <c:v>5.3964356174678985E-2</c:v>
                </c:pt>
                <c:pt idx="120">
                  <c:v>5.3151304728273008E-2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3400-4EDE-BE9E-F92962D47D3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CIR!$A$44:$DQ$44</c:f>
              <c:numCache>
                <c:formatCode>0.0000%</c:formatCode>
                <c:ptCount val="121"/>
                <c:pt idx="0">
                  <c:v>2.0000000000000018E-2</c:v>
                </c:pt>
                <c:pt idx="1">
                  <c:v>2.1209618271325947E-2</c:v>
                </c:pt>
                <c:pt idx="2">
                  <c:v>2.2731539466287698E-2</c:v>
                </c:pt>
                <c:pt idx="3">
                  <c:v>2.3906444096028823E-2</c:v>
                </c:pt>
                <c:pt idx="4">
                  <c:v>2.4583068675094522E-2</c:v>
                </c:pt>
                <c:pt idx="5">
                  <c:v>2.6057018375839958E-2</c:v>
                </c:pt>
                <c:pt idx="6">
                  <c:v>2.697977002951224E-2</c:v>
                </c:pt>
                <c:pt idx="7">
                  <c:v>2.8479896788333514E-2</c:v>
                </c:pt>
                <c:pt idx="8">
                  <c:v>2.9536419813702031E-2</c:v>
                </c:pt>
                <c:pt idx="9">
                  <c:v>3.0793468123625711E-2</c:v>
                </c:pt>
                <c:pt idx="10">
                  <c:v>3.0765254167322231E-2</c:v>
                </c:pt>
                <c:pt idx="11">
                  <c:v>3.2026468085549986E-2</c:v>
                </c:pt>
                <c:pt idx="12">
                  <c:v>3.3904107602000133E-2</c:v>
                </c:pt>
                <c:pt idx="13">
                  <c:v>3.4063842941654654E-2</c:v>
                </c:pt>
                <c:pt idx="14">
                  <c:v>3.4177893608140719E-2</c:v>
                </c:pt>
                <c:pt idx="15">
                  <c:v>3.5276136323966423E-2</c:v>
                </c:pt>
                <c:pt idx="16">
                  <c:v>3.6491453189581691E-2</c:v>
                </c:pt>
                <c:pt idx="17">
                  <c:v>3.7535303630112482E-2</c:v>
                </c:pt>
                <c:pt idx="18">
                  <c:v>3.7804794145553489E-2</c:v>
                </c:pt>
                <c:pt idx="19">
                  <c:v>3.8762935424112133E-2</c:v>
                </c:pt>
                <c:pt idx="20">
                  <c:v>3.9178771665074441E-2</c:v>
                </c:pt>
                <c:pt idx="21">
                  <c:v>4.054993773706328E-2</c:v>
                </c:pt>
                <c:pt idx="22">
                  <c:v>4.068676240921465E-2</c:v>
                </c:pt>
                <c:pt idx="23">
                  <c:v>4.0631708149759582E-2</c:v>
                </c:pt>
                <c:pt idx="24">
                  <c:v>4.0799720234853787E-2</c:v>
                </c:pt>
                <c:pt idx="25">
                  <c:v>4.2179072703001141E-2</c:v>
                </c:pt>
                <c:pt idx="26">
                  <c:v>4.1732406793071553E-2</c:v>
                </c:pt>
                <c:pt idx="27">
                  <c:v>4.235443264247607E-2</c:v>
                </c:pt>
                <c:pt idx="28">
                  <c:v>4.2716050705686515E-2</c:v>
                </c:pt>
                <c:pt idx="29">
                  <c:v>4.3201549231409286E-2</c:v>
                </c:pt>
                <c:pt idx="30">
                  <c:v>4.4584928985192063E-2</c:v>
                </c:pt>
                <c:pt idx="31">
                  <c:v>4.5064069789111372E-2</c:v>
                </c:pt>
                <c:pt idx="32">
                  <c:v>4.4837229545419799E-2</c:v>
                </c:pt>
                <c:pt idx="33">
                  <c:v>4.4891528018525584E-2</c:v>
                </c:pt>
                <c:pt idx="34">
                  <c:v>4.420061782977891E-2</c:v>
                </c:pt>
                <c:pt idx="35">
                  <c:v>4.3706790268737139E-2</c:v>
                </c:pt>
                <c:pt idx="36">
                  <c:v>4.378765498127235E-2</c:v>
                </c:pt>
                <c:pt idx="37">
                  <c:v>4.4657909436429666E-2</c:v>
                </c:pt>
                <c:pt idx="38">
                  <c:v>4.6671092607353915E-2</c:v>
                </c:pt>
                <c:pt idx="39">
                  <c:v>4.8065494128343156E-2</c:v>
                </c:pt>
                <c:pt idx="40">
                  <c:v>4.747712389187142E-2</c:v>
                </c:pt>
                <c:pt idx="41">
                  <c:v>4.6834731005596097E-2</c:v>
                </c:pt>
                <c:pt idx="42">
                  <c:v>4.7946877143363764E-2</c:v>
                </c:pt>
                <c:pt idx="43">
                  <c:v>4.8665142669658268E-2</c:v>
                </c:pt>
                <c:pt idx="44">
                  <c:v>4.7955903720358073E-2</c:v>
                </c:pt>
                <c:pt idx="45">
                  <c:v>4.7949279753248364E-2</c:v>
                </c:pt>
                <c:pt idx="46">
                  <c:v>4.817731845568396E-2</c:v>
                </c:pt>
                <c:pt idx="47">
                  <c:v>4.8257054166456426E-2</c:v>
                </c:pt>
                <c:pt idx="48">
                  <c:v>4.7108843333177219E-2</c:v>
                </c:pt>
                <c:pt idx="49">
                  <c:v>4.6535600132874277E-2</c:v>
                </c:pt>
                <c:pt idx="50">
                  <c:v>4.7032337337949093E-2</c:v>
                </c:pt>
                <c:pt idx="51">
                  <c:v>4.7520145866080776E-2</c:v>
                </c:pt>
                <c:pt idx="52">
                  <c:v>4.7084334300588004E-2</c:v>
                </c:pt>
                <c:pt idx="53">
                  <c:v>4.7722863809881666E-2</c:v>
                </c:pt>
                <c:pt idx="54">
                  <c:v>4.7953748166087884E-2</c:v>
                </c:pt>
                <c:pt idx="55">
                  <c:v>4.7218005717926337E-2</c:v>
                </c:pt>
                <c:pt idx="56">
                  <c:v>4.824123083487053E-2</c:v>
                </c:pt>
                <c:pt idx="57">
                  <c:v>4.7775841903553218E-2</c:v>
                </c:pt>
                <c:pt idx="58">
                  <c:v>4.703347568073335E-2</c:v>
                </c:pt>
                <c:pt idx="59">
                  <c:v>4.7079851671148587E-2</c:v>
                </c:pt>
                <c:pt idx="60">
                  <c:v>4.7593879012138185E-2</c:v>
                </c:pt>
                <c:pt idx="61">
                  <c:v>4.7867097824088489E-2</c:v>
                </c:pt>
                <c:pt idx="62">
                  <c:v>4.7408104032524268E-2</c:v>
                </c:pt>
                <c:pt idx="63">
                  <c:v>4.6479767481050649E-2</c:v>
                </c:pt>
                <c:pt idx="64">
                  <c:v>4.6524640886598023E-2</c:v>
                </c:pt>
                <c:pt idx="65">
                  <c:v>4.6750403067564728E-2</c:v>
                </c:pt>
                <c:pt idx="66">
                  <c:v>4.6724553747360842E-2</c:v>
                </c:pt>
                <c:pt idx="67">
                  <c:v>4.7004188150720383E-2</c:v>
                </c:pt>
                <c:pt idx="68">
                  <c:v>4.7331570184431015E-2</c:v>
                </c:pt>
                <c:pt idx="69">
                  <c:v>4.7186481979848205E-2</c:v>
                </c:pt>
                <c:pt idx="70">
                  <c:v>4.7466692462267757E-2</c:v>
                </c:pt>
                <c:pt idx="71">
                  <c:v>4.765936384874081E-2</c:v>
                </c:pt>
                <c:pt idx="72">
                  <c:v>4.7935256525984071E-2</c:v>
                </c:pt>
                <c:pt idx="73">
                  <c:v>4.7629610082538854E-2</c:v>
                </c:pt>
                <c:pt idx="74">
                  <c:v>4.7002539816463074E-2</c:v>
                </c:pt>
                <c:pt idx="75">
                  <c:v>4.7894019318338144E-2</c:v>
                </c:pt>
                <c:pt idx="76">
                  <c:v>4.7023566113101101E-2</c:v>
                </c:pt>
                <c:pt idx="77">
                  <c:v>4.7509797687930844E-2</c:v>
                </c:pt>
                <c:pt idx="78">
                  <c:v>4.7493609720658414E-2</c:v>
                </c:pt>
                <c:pt idx="79">
                  <c:v>4.8581998420066164E-2</c:v>
                </c:pt>
                <c:pt idx="80">
                  <c:v>4.9877357809465561E-2</c:v>
                </c:pt>
                <c:pt idx="81">
                  <c:v>4.9260255934141739E-2</c:v>
                </c:pt>
                <c:pt idx="82">
                  <c:v>4.7974147234892683E-2</c:v>
                </c:pt>
                <c:pt idx="83">
                  <c:v>4.7578085402357528E-2</c:v>
                </c:pt>
                <c:pt idx="84">
                  <c:v>4.7835233399038168E-2</c:v>
                </c:pt>
                <c:pt idx="85">
                  <c:v>4.8153414619691359E-2</c:v>
                </c:pt>
                <c:pt idx="86">
                  <c:v>4.7221558691907584E-2</c:v>
                </c:pt>
                <c:pt idx="87">
                  <c:v>4.7525522255595254E-2</c:v>
                </c:pt>
                <c:pt idx="88">
                  <c:v>4.9225446251016214E-2</c:v>
                </c:pt>
                <c:pt idx="89">
                  <c:v>4.9011354989386691E-2</c:v>
                </c:pt>
                <c:pt idx="90">
                  <c:v>4.956245900785361E-2</c:v>
                </c:pt>
                <c:pt idx="91">
                  <c:v>4.9669156738770592E-2</c:v>
                </c:pt>
                <c:pt idx="92">
                  <c:v>5.0703389647368979E-2</c:v>
                </c:pt>
                <c:pt idx="93">
                  <c:v>5.0275319740513247E-2</c:v>
                </c:pt>
                <c:pt idx="94">
                  <c:v>5.0196234916338733E-2</c:v>
                </c:pt>
                <c:pt idx="95">
                  <c:v>5.0356880509989654E-2</c:v>
                </c:pt>
                <c:pt idx="96">
                  <c:v>4.9771634524695685E-2</c:v>
                </c:pt>
                <c:pt idx="97">
                  <c:v>4.9795049116808876E-2</c:v>
                </c:pt>
                <c:pt idx="98">
                  <c:v>4.9227221584132286E-2</c:v>
                </c:pt>
                <c:pt idx="99">
                  <c:v>4.9456776053318219E-2</c:v>
                </c:pt>
                <c:pt idx="100">
                  <c:v>5.0087273962645451E-2</c:v>
                </c:pt>
                <c:pt idx="101">
                  <c:v>5.0549441934196748E-2</c:v>
                </c:pt>
                <c:pt idx="102">
                  <c:v>5.1654454741424161E-2</c:v>
                </c:pt>
                <c:pt idx="103">
                  <c:v>5.2324117318746755E-2</c:v>
                </c:pt>
                <c:pt idx="104">
                  <c:v>5.1613493875333427E-2</c:v>
                </c:pt>
                <c:pt idx="105">
                  <c:v>5.358525623345578E-2</c:v>
                </c:pt>
                <c:pt idx="106">
                  <c:v>5.3926311000038307E-2</c:v>
                </c:pt>
                <c:pt idx="107">
                  <c:v>5.3749001264195462E-2</c:v>
                </c:pt>
                <c:pt idx="108">
                  <c:v>5.3875713300718608E-2</c:v>
                </c:pt>
                <c:pt idx="109">
                  <c:v>5.4299266768765841E-2</c:v>
                </c:pt>
                <c:pt idx="110">
                  <c:v>5.3289922855733529E-2</c:v>
                </c:pt>
                <c:pt idx="111">
                  <c:v>5.2570134813711311E-2</c:v>
                </c:pt>
                <c:pt idx="112">
                  <c:v>5.2699697023621983E-2</c:v>
                </c:pt>
                <c:pt idx="113">
                  <c:v>5.325984300619524E-2</c:v>
                </c:pt>
                <c:pt idx="114">
                  <c:v>5.4277288310195848E-2</c:v>
                </c:pt>
                <c:pt idx="115">
                  <c:v>5.3703585177142577E-2</c:v>
                </c:pt>
                <c:pt idx="116">
                  <c:v>5.3033679231797137E-2</c:v>
                </c:pt>
                <c:pt idx="117">
                  <c:v>5.2575765340144409E-2</c:v>
                </c:pt>
                <c:pt idx="118">
                  <c:v>5.2189555922817599E-2</c:v>
                </c:pt>
                <c:pt idx="119">
                  <c:v>5.2217815551513613E-2</c:v>
                </c:pt>
                <c:pt idx="120">
                  <c:v>5.241013377935988E-2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3400-4EDE-BE9E-F92962D47D3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CIR!$A$45:$DQ$45</c:f>
              <c:numCache>
                <c:formatCode>0.0000%</c:formatCode>
                <c:ptCount val="121"/>
                <c:pt idx="0">
                  <c:v>2.0000000000000018E-2</c:v>
                </c:pt>
                <c:pt idx="1">
                  <c:v>2.1528600988171664E-2</c:v>
                </c:pt>
                <c:pt idx="2">
                  <c:v>2.2648351115434062E-2</c:v>
                </c:pt>
                <c:pt idx="3">
                  <c:v>2.3927377096317315E-2</c:v>
                </c:pt>
                <c:pt idx="4">
                  <c:v>2.5742909164666372E-2</c:v>
                </c:pt>
                <c:pt idx="5">
                  <c:v>2.7201363296545988E-2</c:v>
                </c:pt>
                <c:pt idx="6">
                  <c:v>2.8202860308877753E-2</c:v>
                </c:pt>
                <c:pt idx="7">
                  <c:v>2.8566944315786102E-2</c:v>
                </c:pt>
                <c:pt idx="8">
                  <c:v>2.9071320373155851E-2</c:v>
                </c:pt>
                <c:pt idx="9">
                  <c:v>3.0072555023471059E-2</c:v>
                </c:pt>
                <c:pt idx="10">
                  <c:v>3.1207196425865114E-2</c:v>
                </c:pt>
                <c:pt idx="11">
                  <c:v>3.1198004428351966E-2</c:v>
                </c:pt>
                <c:pt idx="12">
                  <c:v>3.2802702942080098E-2</c:v>
                </c:pt>
                <c:pt idx="13">
                  <c:v>3.3395000104277095E-2</c:v>
                </c:pt>
                <c:pt idx="14">
                  <c:v>3.5398844311885114E-2</c:v>
                </c:pt>
                <c:pt idx="15">
                  <c:v>3.5213478534552811E-2</c:v>
                </c:pt>
                <c:pt idx="16">
                  <c:v>3.6557906074648816E-2</c:v>
                </c:pt>
                <c:pt idx="17">
                  <c:v>3.7305364710717326E-2</c:v>
                </c:pt>
                <c:pt idx="18">
                  <c:v>3.7422675805625305E-2</c:v>
                </c:pt>
                <c:pt idx="19">
                  <c:v>3.8849033728620697E-2</c:v>
                </c:pt>
                <c:pt idx="20">
                  <c:v>3.8616343983173262E-2</c:v>
                </c:pt>
                <c:pt idx="21">
                  <c:v>3.9038603097735658E-2</c:v>
                </c:pt>
                <c:pt idx="22">
                  <c:v>3.9393172548575661E-2</c:v>
                </c:pt>
                <c:pt idx="23">
                  <c:v>3.9802882966508912E-2</c:v>
                </c:pt>
                <c:pt idx="24">
                  <c:v>3.9746036748588676E-2</c:v>
                </c:pt>
                <c:pt idx="25">
                  <c:v>4.0908703268123903E-2</c:v>
                </c:pt>
                <c:pt idx="26">
                  <c:v>4.257905443271337E-2</c:v>
                </c:pt>
                <c:pt idx="27">
                  <c:v>4.3109855673131081E-2</c:v>
                </c:pt>
                <c:pt idx="28">
                  <c:v>4.3118670680606375E-2</c:v>
                </c:pt>
                <c:pt idx="29">
                  <c:v>4.4655775092907968E-2</c:v>
                </c:pt>
                <c:pt idx="30">
                  <c:v>4.5401707605557506E-2</c:v>
                </c:pt>
                <c:pt idx="31">
                  <c:v>4.6473225596721957E-2</c:v>
                </c:pt>
                <c:pt idx="32">
                  <c:v>4.6711576081262418E-2</c:v>
                </c:pt>
                <c:pt idx="33">
                  <c:v>4.6829186422321589E-2</c:v>
                </c:pt>
                <c:pt idx="34">
                  <c:v>4.6344097999977851E-2</c:v>
                </c:pt>
                <c:pt idx="35">
                  <c:v>4.6384570153298332E-2</c:v>
                </c:pt>
                <c:pt idx="36">
                  <c:v>4.5952060851400134E-2</c:v>
                </c:pt>
                <c:pt idx="37">
                  <c:v>4.5613578867590876E-2</c:v>
                </c:pt>
                <c:pt idx="38">
                  <c:v>4.5424160985939821E-2</c:v>
                </c:pt>
                <c:pt idx="39">
                  <c:v>4.5524990783704755E-2</c:v>
                </c:pt>
                <c:pt idx="40">
                  <c:v>4.5462847866628353E-2</c:v>
                </c:pt>
                <c:pt idx="41">
                  <c:v>4.6027965955145689E-2</c:v>
                </c:pt>
                <c:pt idx="42">
                  <c:v>4.6215600796458478E-2</c:v>
                </c:pt>
                <c:pt idx="43">
                  <c:v>4.6455887844143673E-2</c:v>
                </c:pt>
                <c:pt idx="44">
                  <c:v>4.591534857309032E-2</c:v>
                </c:pt>
                <c:pt idx="45">
                  <c:v>4.6758644422278728E-2</c:v>
                </c:pt>
                <c:pt idx="46">
                  <c:v>4.7137943725603648E-2</c:v>
                </c:pt>
                <c:pt idx="47">
                  <c:v>4.6887616758782391E-2</c:v>
                </c:pt>
                <c:pt idx="48">
                  <c:v>4.7135746756589603E-2</c:v>
                </c:pt>
                <c:pt idx="49">
                  <c:v>4.7232828088338952E-2</c:v>
                </c:pt>
                <c:pt idx="50">
                  <c:v>4.763196416038129E-2</c:v>
                </c:pt>
                <c:pt idx="51">
                  <c:v>4.7508503661323864E-2</c:v>
                </c:pt>
                <c:pt idx="52">
                  <c:v>4.8228416372954719E-2</c:v>
                </c:pt>
                <c:pt idx="53">
                  <c:v>4.7167903084379237E-2</c:v>
                </c:pt>
                <c:pt idx="54">
                  <c:v>4.7244818913014575E-2</c:v>
                </c:pt>
                <c:pt idx="55">
                  <c:v>4.7042988163325417E-2</c:v>
                </c:pt>
                <c:pt idx="56">
                  <c:v>4.6215673678418057E-2</c:v>
                </c:pt>
                <c:pt idx="57">
                  <c:v>4.7080877708668867E-2</c:v>
                </c:pt>
                <c:pt idx="58">
                  <c:v>4.7178808564385166E-2</c:v>
                </c:pt>
                <c:pt idx="59">
                  <c:v>4.678549842906965E-2</c:v>
                </c:pt>
                <c:pt idx="60">
                  <c:v>4.8733976170505011E-2</c:v>
                </c:pt>
                <c:pt idx="61">
                  <c:v>4.8327028845936759E-2</c:v>
                </c:pt>
                <c:pt idx="62">
                  <c:v>4.775956318601926E-2</c:v>
                </c:pt>
                <c:pt idx="63">
                  <c:v>4.7664683752919101E-2</c:v>
                </c:pt>
                <c:pt idx="64">
                  <c:v>4.709671300108309E-2</c:v>
                </c:pt>
                <c:pt idx="65">
                  <c:v>4.7028762602183249E-2</c:v>
                </c:pt>
                <c:pt idx="66">
                  <c:v>4.6669224612582383E-2</c:v>
                </c:pt>
                <c:pt idx="67">
                  <c:v>4.6384115450587737E-2</c:v>
                </c:pt>
                <c:pt idx="68">
                  <c:v>4.5262785341690259E-2</c:v>
                </c:pt>
                <c:pt idx="69">
                  <c:v>4.5040468884194773E-2</c:v>
                </c:pt>
                <c:pt idx="70">
                  <c:v>4.4671268381195395E-2</c:v>
                </c:pt>
                <c:pt idx="71">
                  <c:v>4.5077932793829545E-2</c:v>
                </c:pt>
                <c:pt idx="72">
                  <c:v>4.4419225599912959E-2</c:v>
                </c:pt>
                <c:pt idx="73">
                  <c:v>4.4868371874280832E-2</c:v>
                </c:pt>
                <c:pt idx="74">
                  <c:v>4.6004508326634497E-2</c:v>
                </c:pt>
                <c:pt idx="75">
                  <c:v>4.5156816994377236E-2</c:v>
                </c:pt>
                <c:pt idx="76">
                  <c:v>4.6098371546676509E-2</c:v>
                </c:pt>
                <c:pt idx="77">
                  <c:v>4.5662506436355832E-2</c:v>
                </c:pt>
                <c:pt idx="78">
                  <c:v>4.5310600111347021E-2</c:v>
                </c:pt>
                <c:pt idx="79">
                  <c:v>4.721885084819899E-2</c:v>
                </c:pt>
                <c:pt idx="80">
                  <c:v>4.7499373693508762E-2</c:v>
                </c:pt>
                <c:pt idx="81">
                  <c:v>4.8013955560749944E-2</c:v>
                </c:pt>
                <c:pt idx="82">
                  <c:v>4.8878244936209292E-2</c:v>
                </c:pt>
                <c:pt idx="83">
                  <c:v>4.9923664437562909E-2</c:v>
                </c:pt>
                <c:pt idx="84">
                  <c:v>5.0324778119825719E-2</c:v>
                </c:pt>
                <c:pt idx="85">
                  <c:v>4.9256358870907846E-2</c:v>
                </c:pt>
                <c:pt idx="86">
                  <c:v>4.9590003016648954E-2</c:v>
                </c:pt>
                <c:pt idx="87">
                  <c:v>4.9184918837874347E-2</c:v>
                </c:pt>
                <c:pt idx="88">
                  <c:v>5.0683437021206146E-2</c:v>
                </c:pt>
                <c:pt idx="89">
                  <c:v>5.036617309169289E-2</c:v>
                </c:pt>
                <c:pt idx="90">
                  <c:v>4.9259653800072023E-2</c:v>
                </c:pt>
                <c:pt idx="91">
                  <c:v>4.9274551048942961E-2</c:v>
                </c:pt>
                <c:pt idx="92">
                  <c:v>4.9506625314533093E-2</c:v>
                </c:pt>
                <c:pt idx="93">
                  <c:v>4.9860946649862958E-2</c:v>
                </c:pt>
                <c:pt idx="94">
                  <c:v>4.9983782011989719E-2</c:v>
                </c:pt>
                <c:pt idx="95">
                  <c:v>4.9984829438856293E-2</c:v>
                </c:pt>
                <c:pt idx="96">
                  <c:v>5.0250249808544867E-2</c:v>
                </c:pt>
                <c:pt idx="97">
                  <c:v>4.9872142427570765E-2</c:v>
                </c:pt>
                <c:pt idx="98">
                  <c:v>4.9790532108100694E-2</c:v>
                </c:pt>
                <c:pt idx="99">
                  <c:v>4.9974545591895181E-2</c:v>
                </c:pt>
                <c:pt idx="100">
                  <c:v>5.0529840746815324E-2</c:v>
                </c:pt>
                <c:pt idx="101">
                  <c:v>5.027418699101438E-2</c:v>
                </c:pt>
                <c:pt idx="102">
                  <c:v>5.0366238560502152E-2</c:v>
                </c:pt>
                <c:pt idx="103">
                  <c:v>5.1433236692260742E-2</c:v>
                </c:pt>
                <c:pt idx="104">
                  <c:v>5.3147970359973984E-2</c:v>
                </c:pt>
                <c:pt idx="105">
                  <c:v>5.3444572050208139E-2</c:v>
                </c:pt>
                <c:pt idx="106">
                  <c:v>5.4416935136517353E-2</c:v>
                </c:pt>
                <c:pt idx="107">
                  <c:v>5.4367787647980892E-2</c:v>
                </c:pt>
                <c:pt idx="108">
                  <c:v>5.3195894897928531E-2</c:v>
                </c:pt>
                <c:pt idx="109">
                  <c:v>5.3315241776996203E-2</c:v>
                </c:pt>
                <c:pt idx="110">
                  <c:v>5.347557076987064E-2</c:v>
                </c:pt>
                <c:pt idx="111">
                  <c:v>5.2782982257290278E-2</c:v>
                </c:pt>
                <c:pt idx="112">
                  <c:v>5.336661951783106E-2</c:v>
                </c:pt>
                <c:pt idx="113">
                  <c:v>5.4365540601137852E-2</c:v>
                </c:pt>
                <c:pt idx="114">
                  <c:v>5.464186394306414E-2</c:v>
                </c:pt>
                <c:pt idx="115">
                  <c:v>5.3829772657364217E-2</c:v>
                </c:pt>
                <c:pt idx="116">
                  <c:v>5.3902717358765839E-2</c:v>
                </c:pt>
                <c:pt idx="117">
                  <c:v>5.4259886738501351E-2</c:v>
                </c:pt>
                <c:pt idx="118">
                  <c:v>5.396905006775965E-2</c:v>
                </c:pt>
                <c:pt idx="119">
                  <c:v>5.382722540751983E-2</c:v>
                </c:pt>
                <c:pt idx="120">
                  <c:v>5.3138071786549501E-2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3400-4EDE-BE9E-F92962D47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6948848"/>
        <c:axId val="2136945968"/>
      </c:lineChart>
      <c:catAx>
        <c:axId val="213694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6945968"/>
        <c:crosses val="autoZero"/>
        <c:auto val="1"/>
        <c:lblAlgn val="ctr"/>
        <c:lblOffset val="100"/>
        <c:noMultiLvlLbl val="0"/>
      </c:catAx>
      <c:valAx>
        <c:axId val="213694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6948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Bond Pricing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CIR!$A$51:$DQ$51</c:f>
              <c:numCache>
                <c:formatCode>0.0000</c:formatCode>
                <c:ptCount val="121"/>
                <c:pt idx="0">
                  <c:v>0.64406656131390982</c:v>
                </c:pt>
                <c:pt idx="1">
                  <c:v>0.64604511828187039</c:v>
                </c:pt>
                <c:pt idx="2">
                  <c:v>0.64680777796539135</c:v>
                </c:pt>
                <c:pt idx="3">
                  <c:v>0.64796954755547864</c:v>
                </c:pt>
                <c:pt idx="4">
                  <c:v>0.64871422072145701</c:v>
                </c:pt>
                <c:pt idx="5">
                  <c:v>0.65018404524285589</c:v>
                </c:pt>
                <c:pt idx="6">
                  <c:v>0.65152336155301271</c:v>
                </c:pt>
                <c:pt idx="7">
                  <c:v>0.6522723374100079</c:v>
                </c:pt>
                <c:pt idx="8">
                  <c:v>0.65421957521306617</c:v>
                </c:pt>
                <c:pt idx="9">
                  <c:v>0.65634460055327393</c:v>
                </c:pt>
                <c:pt idx="10">
                  <c:v>0.65806602571359651</c:v>
                </c:pt>
                <c:pt idx="11">
                  <c:v>0.65985198139958612</c:v>
                </c:pt>
                <c:pt idx="12">
                  <c:v>0.66131306063945661</c:v>
                </c:pt>
                <c:pt idx="13">
                  <c:v>0.66196341469899544</c:v>
                </c:pt>
                <c:pt idx="14">
                  <c:v>0.6630413663890109</c:v>
                </c:pt>
                <c:pt idx="15">
                  <c:v>0.66614806585491348</c:v>
                </c:pt>
                <c:pt idx="16">
                  <c:v>0.66832742530388778</c:v>
                </c:pt>
                <c:pt idx="17">
                  <c:v>0.67075348510204702</c:v>
                </c:pt>
                <c:pt idx="18">
                  <c:v>0.67295209140981893</c:v>
                </c:pt>
                <c:pt idx="19">
                  <c:v>0.67498512356913032</c:v>
                </c:pt>
                <c:pt idx="20">
                  <c:v>0.67791910760557716</c:v>
                </c:pt>
                <c:pt idx="21">
                  <c:v>0.67994457132525343</c:v>
                </c:pt>
                <c:pt idx="22">
                  <c:v>0.6830261655325317</c:v>
                </c:pt>
                <c:pt idx="23">
                  <c:v>0.68374170095905984</c:v>
                </c:pt>
                <c:pt idx="24">
                  <c:v>0.68699360809691357</c:v>
                </c:pt>
                <c:pt idx="25">
                  <c:v>0.68948327682375377</c:v>
                </c:pt>
                <c:pt idx="26">
                  <c:v>0.69256502741616544</c:v>
                </c:pt>
                <c:pt idx="27">
                  <c:v>0.69521448768804428</c:v>
                </c:pt>
                <c:pt idx="28">
                  <c:v>0.69768747433547185</c:v>
                </c:pt>
                <c:pt idx="29">
                  <c:v>0.70058251248688397</c:v>
                </c:pt>
                <c:pt idx="30">
                  <c:v>0.70278616644859537</c:v>
                </c:pt>
                <c:pt idx="31">
                  <c:v>0.70503775136442515</c:v>
                </c:pt>
                <c:pt idx="32">
                  <c:v>0.70708570163529361</c:v>
                </c:pt>
                <c:pt idx="33">
                  <c:v>0.70875617127157686</c:v>
                </c:pt>
                <c:pt idx="34">
                  <c:v>0.71160496089904979</c:v>
                </c:pt>
                <c:pt idx="35">
                  <c:v>0.71393264507124565</c:v>
                </c:pt>
                <c:pt idx="36">
                  <c:v>0.71849204700625302</c:v>
                </c:pt>
                <c:pt idx="37">
                  <c:v>0.72140394789535478</c:v>
                </c:pt>
                <c:pt idx="38">
                  <c:v>0.72534646797970503</c:v>
                </c:pt>
                <c:pt idx="39">
                  <c:v>0.72751736233307951</c:v>
                </c:pt>
                <c:pt idx="40">
                  <c:v>0.72938072894532113</c:v>
                </c:pt>
                <c:pt idx="41">
                  <c:v>0.73118988133593188</c:v>
                </c:pt>
                <c:pt idx="42">
                  <c:v>0.73413600170807092</c:v>
                </c:pt>
                <c:pt idx="43">
                  <c:v>0.73596319932578069</c:v>
                </c:pt>
                <c:pt idx="44">
                  <c:v>0.73868377352622172</c:v>
                </c:pt>
                <c:pt idx="45">
                  <c:v>0.74019608988692387</c:v>
                </c:pt>
                <c:pt idx="46">
                  <c:v>0.74383359308849861</c:v>
                </c:pt>
                <c:pt idx="47">
                  <c:v>0.74479998568393802</c:v>
                </c:pt>
                <c:pt idx="48">
                  <c:v>0.74678277107144375</c:v>
                </c:pt>
                <c:pt idx="49">
                  <c:v>0.74940360375132153</c:v>
                </c:pt>
                <c:pt idx="50">
                  <c:v>0.75109670705210119</c:v>
                </c:pt>
                <c:pt idx="51">
                  <c:v>0.75491606448941928</c:v>
                </c:pt>
                <c:pt idx="52">
                  <c:v>0.75860525840747128</c:v>
                </c:pt>
                <c:pt idx="53">
                  <c:v>0.76192323789443483</c:v>
                </c:pt>
                <c:pt idx="54">
                  <c:v>0.76329350170447019</c:v>
                </c:pt>
                <c:pt idx="55">
                  <c:v>0.76538503360061971</c:v>
                </c:pt>
                <c:pt idx="56">
                  <c:v>0.77028012102195642</c:v>
                </c:pt>
                <c:pt idx="57">
                  <c:v>0.77220704400621198</c:v>
                </c:pt>
                <c:pt idx="58">
                  <c:v>0.77563326138577826</c:v>
                </c:pt>
                <c:pt idx="59">
                  <c:v>0.77825045836595952</c:v>
                </c:pt>
                <c:pt idx="60">
                  <c:v>0.77986328441378561</c:v>
                </c:pt>
                <c:pt idx="61">
                  <c:v>0.78321652432284239</c:v>
                </c:pt>
                <c:pt idx="62">
                  <c:v>0.78749919602561858</c:v>
                </c:pt>
                <c:pt idx="63">
                  <c:v>0.79131143174971053</c:v>
                </c:pt>
                <c:pt idx="64">
                  <c:v>0.79557435617841177</c:v>
                </c:pt>
                <c:pt idx="65">
                  <c:v>0.79732647069100726</c:v>
                </c:pt>
                <c:pt idx="66">
                  <c:v>0.79969789903589572</c:v>
                </c:pt>
                <c:pt idx="67">
                  <c:v>0.80416706387904358</c:v>
                </c:pt>
                <c:pt idx="68">
                  <c:v>0.8067652009864924</c:v>
                </c:pt>
                <c:pt idx="69">
                  <c:v>0.81051002093724023</c:v>
                </c:pt>
                <c:pt idx="70">
                  <c:v>0.81337777245628151</c:v>
                </c:pt>
                <c:pt idx="71">
                  <c:v>0.81716075100468377</c:v>
                </c:pt>
                <c:pt idx="72">
                  <c:v>0.82054261546436269</c:v>
                </c:pt>
                <c:pt idx="73">
                  <c:v>0.82121881370066419</c:v>
                </c:pt>
                <c:pt idx="74">
                  <c:v>0.82422290944540411</c:v>
                </c:pt>
                <c:pt idx="75">
                  <c:v>0.82674757082432693</c:v>
                </c:pt>
                <c:pt idx="76">
                  <c:v>0.83022034457767024</c:v>
                </c:pt>
                <c:pt idx="77">
                  <c:v>0.83379692947078976</c:v>
                </c:pt>
                <c:pt idx="78">
                  <c:v>0.8365485759641057</c:v>
                </c:pt>
                <c:pt idx="79">
                  <c:v>0.84264794850873981</c:v>
                </c:pt>
                <c:pt idx="80">
                  <c:v>0.84543035844617098</c:v>
                </c:pt>
                <c:pt idx="81">
                  <c:v>0.85040931076956439</c:v>
                </c:pt>
                <c:pt idx="82">
                  <c:v>0.85425926557162535</c:v>
                </c:pt>
                <c:pt idx="83">
                  <c:v>0.85717401142284411</c:v>
                </c:pt>
                <c:pt idx="84">
                  <c:v>0.86137157591338431</c:v>
                </c:pt>
                <c:pt idx="85">
                  <c:v>0.86517760455529114</c:v>
                </c:pt>
                <c:pt idx="86">
                  <c:v>0.86872490910527389</c:v>
                </c:pt>
                <c:pt idx="87">
                  <c:v>0.87304384003451041</c:v>
                </c:pt>
                <c:pt idx="88">
                  <c:v>0.8767825209078528</c:v>
                </c:pt>
                <c:pt idx="89">
                  <c:v>0.88018950160521248</c:v>
                </c:pt>
                <c:pt idx="90">
                  <c:v>0.88450699113698983</c:v>
                </c:pt>
                <c:pt idx="91">
                  <c:v>0.88770577500516956</c:v>
                </c:pt>
                <c:pt idx="92">
                  <c:v>0.89131453735870914</c:v>
                </c:pt>
                <c:pt idx="93">
                  <c:v>0.89467921429941644</c:v>
                </c:pt>
                <c:pt idx="94">
                  <c:v>0.89774198640298997</c:v>
                </c:pt>
                <c:pt idx="95">
                  <c:v>0.90098439395998564</c:v>
                </c:pt>
                <c:pt idx="96">
                  <c:v>0.90422515150698091</c:v>
                </c:pt>
                <c:pt idx="97">
                  <c:v>0.90823572694680854</c:v>
                </c:pt>
                <c:pt idx="98">
                  <c:v>0.91292497362975533</c:v>
                </c:pt>
                <c:pt idx="99">
                  <c:v>0.91685557959469288</c:v>
                </c:pt>
                <c:pt idx="100">
                  <c:v>0.92037353112988662</c:v>
                </c:pt>
                <c:pt idx="101">
                  <c:v>0.92354924908663838</c:v>
                </c:pt>
                <c:pt idx="102">
                  <c:v>0.92829217212279425</c:v>
                </c:pt>
                <c:pt idx="103">
                  <c:v>0.93230459384401121</c:v>
                </c:pt>
                <c:pt idx="104">
                  <c:v>0.93608322734067595</c:v>
                </c:pt>
                <c:pt idx="105">
                  <c:v>0.93985632402321639</c:v>
                </c:pt>
                <c:pt idx="106">
                  <c:v>0.94384879702393076</c:v>
                </c:pt>
                <c:pt idx="107">
                  <c:v>0.94811666305466347</c:v>
                </c:pt>
                <c:pt idx="108">
                  <c:v>0.95126937140570167</c:v>
                </c:pt>
                <c:pt idx="109">
                  <c:v>0.95500417422615502</c:v>
                </c:pt>
                <c:pt idx="110">
                  <c:v>0.959258539093369</c:v>
                </c:pt>
                <c:pt idx="111">
                  <c:v>0.96362320762839504</c:v>
                </c:pt>
                <c:pt idx="112">
                  <c:v>0.96796418078053703</c:v>
                </c:pt>
                <c:pt idx="113">
                  <c:v>0.97172883200009086</c:v>
                </c:pt>
                <c:pt idx="114">
                  <c:v>0.97571364866058441</c:v>
                </c:pt>
                <c:pt idx="115">
                  <c:v>0.97940909151183486</c:v>
                </c:pt>
                <c:pt idx="116">
                  <c:v>0.98378984247446921</c:v>
                </c:pt>
                <c:pt idx="117">
                  <c:v>0.98783652912405162</c:v>
                </c:pt>
                <c:pt idx="118">
                  <c:v>0.9918624264602468</c:v>
                </c:pt>
                <c:pt idx="119">
                  <c:v>0.99597441187874813</c:v>
                </c:pt>
                <c:pt idx="12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65-40C2-BFC9-1ED045C66B3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CIR!$A$52:$DQ$52</c:f>
              <c:numCache>
                <c:formatCode>0.0000</c:formatCode>
                <c:ptCount val="121"/>
                <c:pt idx="0">
                  <c:v>0.64406656131390982</c:v>
                </c:pt>
                <c:pt idx="1">
                  <c:v>0.64487323803004992</c:v>
                </c:pt>
                <c:pt idx="2">
                  <c:v>0.64507658479486485</c:v>
                </c:pt>
                <c:pt idx="3">
                  <c:v>0.64745948431133349</c:v>
                </c:pt>
                <c:pt idx="4">
                  <c:v>0.64863196910799548</c:v>
                </c:pt>
                <c:pt idx="5">
                  <c:v>0.65026483210014951</c:v>
                </c:pt>
                <c:pt idx="6">
                  <c:v>0.65159218134723673</c:v>
                </c:pt>
                <c:pt idx="7">
                  <c:v>0.65237260079487558</c:v>
                </c:pt>
                <c:pt idx="8">
                  <c:v>0.65485699126148555</c:v>
                </c:pt>
                <c:pt idx="9">
                  <c:v>0.65624955370761739</c:v>
                </c:pt>
                <c:pt idx="10">
                  <c:v>0.65762031448545688</c:v>
                </c:pt>
                <c:pt idx="11">
                  <c:v>0.65885568428804075</c:v>
                </c:pt>
                <c:pt idx="12">
                  <c:v>0.66092956210935394</c:v>
                </c:pt>
                <c:pt idx="13">
                  <c:v>0.66248757195729024</c:v>
                </c:pt>
                <c:pt idx="14">
                  <c:v>0.66416487719013695</c:v>
                </c:pt>
                <c:pt idx="15">
                  <c:v>0.66587522439606484</c:v>
                </c:pt>
                <c:pt idx="16">
                  <c:v>0.66796480132157787</c:v>
                </c:pt>
                <c:pt idx="17">
                  <c:v>0.66999676583850298</c:v>
                </c:pt>
                <c:pt idx="18">
                  <c:v>0.67107566184868073</c:v>
                </c:pt>
                <c:pt idx="19">
                  <c:v>0.67340098220323485</c:v>
                </c:pt>
                <c:pt idx="20">
                  <c:v>0.67556968972368003</c:v>
                </c:pt>
                <c:pt idx="21">
                  <c:v>0.67823036642255363</c:v>
                </c:pt>
                <c:pt idx="22">
                  <c:v>0.68059944701075425</c:v>
                </c:pt>
                <c:pt idx="23">
                  <c:v>0.68310541399405589</c:v>
                </c:pt>
                <c:pt idx="24">
                  <c:v>0.68454688837109212</c:v>
                </c:pt>
                <c:pt idx="25">
                  <c:v>0.68658748886673837</c:v>
                </c:pt>
                <c:pt idx="26">
                  <c:v>0.68982018022197478</c:v>
                </c:pt>
                <c:pt idx="27">
                  <c:v>0.69090574693836426</c:v>
                </c:pt>
                <c:pt idx="28">
                  <c:v>0.69259813085659994</c:v>
                </c:pt>
                <c:pt idx="29">
                  <c:v>0.69426536369612823</c:v>
                </c:pt>
                <c:pt idx="30">
                  <c:v>0.69690580150720127</c:v>
                </c:pt>
                <c:pt idx="31">
                  <c:v>0.70045305095579313</c:v>
                </c:pt>
                <c:pt idx="32">
                  <c:v>0.70378727213681502</c:v>
                </c:pt>
                <c:pt idx="33">
                  <c:v>0.70569538356679096</c:v>
                </c:pt>
                <c:pt idx="34">
                  <c:v>0.70887451425388182</c:v>
                </c:pt>
                <c:pt idx="35">
                  <c:v>0.71151988608365102</c:v>
                </c:pt>
                <c:pt idx="36">
                  <c:v>0.7140757344291454</c:v>
                </c:pt>
                <c:pt idx="37">
                  <c:v>0.7154837914809894</c:v>
                </c:pt>
                <c:pt idx="38">
                  <c:v>0.7178595342923304</c:v>
                </c:pt>
                <c:pt idx="39">
                  <c:v>0.72127120721006999</c:v>
                </c:pt>
                <c:pt idx="40">
                  <c:v>0.72352867107518315</c:v>
                </c:pt>
                <c:pt idx="41">
                  <c:v>0.72778663922831854</c:v>
                </c:pt>
                <c:pt idx="42">
                  <c:v>0.73050539448600937</c:v>
                </c:pt>
                <c:pt idx="43">
                  <c:v>0.73416122470875889</c:v>
                </c:pt>
                <c:pt idx="44">
                  <c:v>0.73717900178549756</c:v>
                </c:pt>
                <c:pt idx="45">
                  <c:v>0.74111793852386443</c:v>
                </c:pt>
                <c:pt idx="46">
                  <c:v>0.7448249442713194</c:v>
                </c:pt>
                <c:pt idx="47">
                  <c:v>0.74772573344342197</c:v>
                </c:pt>
                <c:pt idx="48">
                  <c:v>0.75138402234458035</c:v>
                </c:pt>
                <c:pt idx="49">
                  <c:v>0.75337070137200479</c:v>
                </c:pt>
                <c:pt idx="50">
                  <c:v>0.75514762253007073</c:v>
                </c:pt>
                <c:pt idx="51">
                  <c:v>0.7579185698118962</c:v>
                </c:pt>
                <c:pt idx="52">
                  <c:v>0.76080489096017767</c:v>
                </c:pt>
                <c:pt idx="53">
                  <c:v>0.76400547396059137</c:v>
                </c:pt>
                <c:pt idx="54">
                  <c:v>0.76606434532301548</c:v>
                </c:pt>
                <c:pt idx="55">
                  <c:v>0.76856846773714793</c:v>
                </c:pt>
                <c:pt idx="56">
                  <c:v>0.77150742548190043</c:v>
                </c:pt>
                <c:pt idx="57">
                  <c:v>0.77554914793419361</c:v>
                </c:pt>
                <c:pt idx="58">
                  <c:v>0.77765530200673172</c:v>
                </c:pt>
                <c:pt idx="59">
                  <c:v>0.77897281755383219</c:v>
                </c:pt>
                <c:pt idx="60">
                  <c:v>0.78297406564869843</c:v>
                </c:pt>
                <c:pt idx="61">
                  <c:v>0.78654375853534775</c:v>
                </c:pt>
                <c:pt idx="62">
                  <c:v>0.78921421395072122</c:v>
                </c:pt>
                <c:pt idx="63">
                  <c:v>0.79128672105467435</c:v>
                </c:pt>
                <c:pt idx="64">
                  <c:v>0.79614654272708507</c:v>
                </c:pt>
                <c:pt idx="65">
                  <c:v>0.79895641336614243</c:v>
                </c:pt>
                <c:pt idx="66">
                  <c:v>0.80307304168018379</c:v>
                </c:pt>
                <c:pt idx="67">
                  <c:v>0.80506191265507443</c:v>
                </c:pt>
                <c:pt idx="68">
                  <c:v>0.80743396507684828</c:v>
                </c:pt>
                <c:pt idx="69">
                  <c:v>0.81024102293047562</c:v>
                </c:pt>
                <c:pt idx="70">
                  <c:v>0.81284933111796298</c:v>
                </c:pt>
                <c:pt idx="71">
                  <c:v>0.81684991947217078</c:v>
                </c:pt>
                <c:pt idx="72">
                  <c:v>0.82166705797561357</c:v>
                </c:pt>
                <c:pt idx="73">
                  <c:v>0.82520682557432035</c:v>
                </c:pt>
                <c:pt idx="74">
                  <c:v>0.83064500058957191</c:v>
                </c:pt>
                <c:pt idx="75">
                  <c:v>0.83351658807387086</c:v>
                </c:pt>
                <c:pt idx="76">
                  <c:v>0.8358981645618101</c:v>
                </c:pt>
                <c:pt idx="77">
                  <c:v>0.83952397911998</c:v>
                </c:pt>
                <c:pt idx="78">
                  <c:v>0.84266340896472192</c:v>
                </c:pt>
                <c:pt idx="79">
                  <c:v>0.84608956600013263</c:v>
                </c:pt>
                <c:pt idx="80">
                  <c:v>0.84839770943056247</c:v>
                </c:pt>
                <c:pt idx="81">
                  <c:v>0.85032913676995203</c:v>
                </c:pt>
                <c:pt idx="82">
                  <c:v>0.85374924415294196</c:v>
                </c:pt>
                <c:pt idx="83">
                  <c:v>0.85811898591020275</c:v>
                </c:pt>
                <c:pt idx="84">
                  <c:v>0.86252565086241639</c:v>
                </c:pt>
                <c:pt idx="85">
                  <c:v>0.86571706833013196</c:v>
                </c:pt>
                <c:pt idx="86">
                  <c:v>0.8679780776820003</c:v>
                </c:pt>
                <c:pt idx="87">
                  <c:v>0.87284709536352822</c:v>
                </c:pt>
                <c:pt idx="88">
                  <c:v>0.87605313685469488</c:v>
                </c:pt>
                <c:pt idx="89">
                  <c:v>0.8800636969772172</c:v>
                </c:pt>
                <c:pt idx="90">
                  <c:v>0.88395428149811583</c:v>
                </c:pt>
                <c:pt idx="91">
                  <c:v>0.88793202476715494</c:v>
                </c:pt>
                <c:pt idx="92">
                  <c:v>0.89069465191668096</c:v>
                </c:pt>
                <c:pt idx="93">
                  <c:v>0.89357598639131686</c:v>
                </c:pt>
                <c:pt idx="94">
                  <c:v>0.89695800174259821</c:v>
                </c:pt>
                <c:pt idx="95">
                  <c:v>0.90058452229701658</c:v>
                </c:pt>
                <c:pt idx="96">
                  <c:v>0.90343907973942206</c:v>
                </c:pt>
                <c:pt idx="97">
                  <c:v>0.90756705134606175</c:v>
                </c:pt>
                <c:pt idx="98">
                  <c:v>0.91230296128022226</c:v>
                </c:pt>
                <c:pt idx="99">
                  <c:v>0.91589956734958156</c:v>
                </c:pt>
                <c:pt idx="100">
                  <c:v>0.92152564190075625</c:v>
                </c:pt>
                <c:pt idx="101">
                  <c:v>0.92567359217148992</c:v>
                </c:pt>
                <c:pt idx="102">
                  <c:v>0.92856941879890798</c:v>
                </c:pt>
                <c:pt idx="103">
                  <c:v>0.93202995798240751</c:v>
                </c:pt>
                <c:pt idx="104">
                  <c:v>0.93607410716850337</c:v>
                </c:pt>
                <c:pt idx="105">
                  <c:v>0.94039270792341467</c:v>
                </c:pt>
                <c:pt idx="106">
                  <c:v>0.944670857064001</c:v>
                </c:pt>
                <c:pt idx="107">
                  <c:v>0.94765917152885482</c:v>
                </c:pt>
                <c:pt idx="108">
                  <c:v>0.95106846108309884</c:v>
                </c:pt>
                <c:pt idx="109">
                  <c:v>0.95550623657506817</c:v>
                </c:pt>
                <c:pt idx="110">
                  <c:v>0.9605241874963838</c:v>
                </c:pt>
                <c:pt idx="111">
                  <c:v>0.96420750593142979</c:v>
                </c:pt>
                <c:pt idx="112">
                  <c:v>0.96788885446770789</c:v>
                </c:pt>
                <c:pt idx="113">
                  <c:v>0.97252261731658107</c:v>
                </c:pt>
                <c:pt idx="114">
                  <c:v>0.97652360447653885</c:v>
                </c:pt>
                <c:pt idx="115">
                  <c:v>0.98018772857832981</c:v>
                </c:pt>
                <c:pt idx="116">
                  <c:v>0.98435998005189895</c:v>
                </c:pt>
                <c:pt idx="117">
                  <c:v>0.98817800256582589</c:v>
                </c:pt>
                <c:pt idx="118">
                  <c:v>0.99192280921428622</c:v>
                </c:pt>
                <c:pt idx="119">
                  <c:v>0.99597189671862485</c:v>
                </c:pt>
                <c:pt idx="12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65-40C2-BFC9-1ED045C66B3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CIR!$A$53:$DQ$53</c:f>
              <c:numCache>
                <c:formatCode>0.0000</c:formatCode>
                <c:ptCount val="121"/>
                <c:pt idx="0">
                  <c:v>0.64406656131390982</c:v>
                </c:pt>
                <c:pt idx="1">
                  <c:v>0.64535421491583267</c:v>
                </c:pt>
                <c:pt idx="2">
                  <c:v>0.64665456975361246</c:v>
                </c:pt>
                <c:pt idx="3">
                  <c:v>0.64765775116900093</c:v>
                </c:pt>
                <c:pt idx="4">
                  <c:v>0.64912431686166883</c:v>
                </c:pt>
                <c:pt idx="5">
                  <c:v>0.65050519696557196</c:v>
                </c:pt>
                <c:pt idx="6">
                  <c:v>0.6516769799771428</c:v>
                </c:pt>
                <c:pt idx="7">
                  <c:v>0.65339179119191537</c:v>
                </c:pt>
                <c:pt idx="8">
                  <c:v>0.6541859309403788</c:v>
                </c:pt>
                <c:pt idx="9">
                  <c:v>0.65452556756111391</c:v>
                </c:pt>
                <c:pt idx="10">
                  <c:v>0.65586422476881734</c:v>
                </c:pt>
                <c:pt idx="11">
                  <c:v>0.65687918341604989</c:v>
                </c:pt>
                <c:pt idx="12">
                  <c:v>0.65890183362394705</c:v>
                </c:pt>
                <c:pt idx="13">
                  <c:v>0.66176248866094201</c:v>
                </c:pt>
                <c:pt idx="14">
                  <c:v>0.66276436752220758</c:v>
                </c:pt>
                <c:pt idx="15">
                  <c:v>0.66534613375702467</c:v>
                </c:pt>
                <c:pt idx="16">
                  <c:v>0.66840682237657889</c:v>
                </c:pt>
                <c:pt idx="17">
                  <c:v>0.67019222697707104</c:v>
                </c:pt>
                <c:pt idx="18">
                  <c:v>0.6732192040215268</c:v>
                </c:pt>
                <c:pt idx="19">
                  <c:v>0.6752713563516437</c:v>
                </c:pt>
                <c:pt idx="20">
                  <c:v>0.67714042177491862</c:v>
                </c:pt>
                <c:pt idx="21">
                  <c:v>0.677462823817777</c:v>
                </c:pt>
                <c:pt idx="22">
                  <c:v>0.67852017602013703</c:v>
                </c:pt>
                <c:pt idx="23">
                  <c:v>0.67993072736785021</c:v>
                </c:pt>
                <c:pt idx="24">
                  <c:v>0.68309457197520518</c:v>
                </c:pt>
                <c:pt idx="25">
                  <c:v>0.68482107517592683</c:v>
                </c:pt>
                <c:pt idx="26">
                  <c:v>0.68677281924341649</c:v>
                </c:pt>
                <c:pt idx="27">
                  <c:v>0.6893098498014566</c:v>
                </c:pt>
                <c:pt idx="28">
                  <c:v>0.69145157592917295</c:v>
                </c:pt>
                <c:pt idx="29">
                  <c:v>0.69383778033412324</c:v>
                </c:pt>
                <c:pt idx="30">
                  <c:v>0.69555199563594738</c:v>
                </c:pt>
                <c:pt idx="31">
                  <c:v>0.6977367506412443</c:v>
                </c:pt>
                <c:pt idx="32">
                  <c:v>0.69924087357066378</c:v>
                </c:pt>
                <c:pt idx="33">
                  <c:v>0.70305280284263771</c:v>
                </c:pt>
                <c:pt idx="34">
                  <c:v>0.70556096345544717</c:v>
                </c:pt>
                <c:pt idx="35">
                  <c:v>0.7074480730447108</c:v>
                </c:pt>
                <c:pt idx="36">
                  <c:v>0.71114176451520805</c:v>
                </c:pt>
                <c:pt idx="37">
                  <c:v>0.71450017760603557</c:v>
                </c:pt>
                <c:pt idx="38">
                  <c:v>0.71617701026636327</c:v>
                </c:pt>
                <c:pt idx="39">
                  <c:v>0.71848005125232195</c:v>
                </c:pt>
                <c:pt idx="40">
                  <c:v>0.72167107651348039</c:v>
                </c:pt>
                <c:pt idx="41">
                  <c:v>0.72252452710522652</c:v>
                </c:pt>
                <c:pt idx="42">
                  <c:v>0.72469296384949178</c:v>
                </c:pt>
                <c:pt idx="43">
                  <c:v>0.72695856450246599</c:v>
                </c:pt>
                <c:pt idx="44">
                  <c:v>0.73021591798583829</c:v>
                </c:pt>
                <c:pt idx="45">
                  <c:v>0.73359013303084475</c:v>
                </c:pt>
                <c:pt idx="46">
                  <c:v>0.7354334434136639</c:v>
                </c:pt>
                <c:pt idx="47">
                  <c:v>0.73717346100256276</c:v>
                </c:pt>
                <c:pt idx="48">
                  <c:v>0.74145455847872499</c:v>
                </c:pt>
                <c:pt idx="49">
                  <c:v>0.74542355389914672</c:v>
                </c:pt>
                <c:pt idx="50">
                  <c:v>0.74775229788375774</c:v>
                </c:pt>
                <c:pt idx="51">
                  <c:v>0.75199277572675038</c:v>
                </c:pt>
                <c:pt idx="52">
                  <c:v>0.75467080537965925</c:v>
                </c:pt>
                <c:pt idx="53">
                  <c:v>0.75778591014762975</c:v>
                </c:pt>
                <c:pt idx="54">
                  <c:v>0.76019709341440977</c:v>
                </c:pt>
                <c:pt idx="55">
                  <c:v>0.76304680525233726</c:v>
                </c:pt>
                <c:pt idx="56">
                  <c:v>0.76734213747696234</c:v>
                </c:pt>
                <c:pt idx="57">
                  <c:v>0.76965897764165392</c:v>
                </c:pt>
                <c:pt idx="58">
                  <c:v>0.77336442593215737</c:v>
                </c:pt>
                <c:pt idx="59">
                  <c:v>0.77682550493143943</c:v>
                </c:pt>
                <c:pt idx="60">
                  <c:v>0.78042658656708719</c:v>
                </c:pt>
                <c:pt idx="61">
                  <c:v>0.78257513095242537</c:v>
                </c:pt>
                <c:pt idx="62">
                  <c:v>0.78467926190336179</c:v>
                </c:pt>
                <c:pt idx="63">
                  <c:v>0.78685063696526214</c:v>
                </c:pt>
                <c:pt idx="64">
                  <c:v>0.78903894001378327</c:v>
                </c:pt>
                <c:pt idx="65">
                  <c:v>0.79302363524225972</c:v>
                </c:pt>
                <c:pt idx="66">
                  <c:v>0.79721678952160502</c:v>
                </c:pt>
                <c:pt idx="67">
                  <c:v>0.80080936872036645</c:v>
                </c:pt>
                <c:pt idx="68">
                  <c:v>0.80619350996477268</c:v>
                </c:pt>
                <c:pt idx="69">
                  <c:v>0.810519305188933</c:v>
                </c:pt>
                <c:pt idx="70">
                  <c:v>0.81389602652410775</c:v>
                </c:pt>
                <c:pt idx="71">
                  <c:v>0.81775374840502368</c:v>
                </c:pt>
                <c:pt idx="72">
                  <c:v>0.82045857752428342</c:v>
                </c:pt>
                <c:pt idx="73">
                  <c:v>0.8244613345892049</c:v>
                </c:pt>
                <c:pt idx="74">
                  <c:v>0.82789951677227192</c:v>
                </c:pt>
                <c:pt idx="75">
                  <c:v>0.82971732623070282</c:v>
                </c:pt>
                <c:pt idx="76">
                  <c:v>0.83449089303078572</c:v>
                </c:pt>
                <c:pt idx="77">
                  <c:v>0.83871281181083013</c:v>
                </c:pt>
                <c:pt idx="78">
                  <c:v>0.84241958848219667</c:v>
                </c:pt>
                <c:pt idx="79">
                  <c:v>0.84519787835109317</c:v>
                </c:pt>
                <c:pt idx="80">
                  <c:v>0.84816364449143256</c:v>
                </c:pt>
                <c:pt idx="81">
                  <c:v>0.8509494494088482</c:v>
                </c:pt>
                <c:pt idx="82">
                  <c:v>0.85499858395530182</c:v>
                </c:pt>
                <c:pt idx="83">
                  <c:v>0.85747387098658934</c:v>
                </c:pt>
                <c:pt idx="84">
                  <c:v>0.86123664849837445</c:v>
                </c:pt>
                <c:pt idx="85">
                  <c:v>0.86274877890947754</c:v>
                </c:pt>
                <c:pt idx="86">
                  <c:v>0.86616740268374481</c:v>
                </c:pt>
                <c:pt idx="87">
                  <c:v>0.86995176942441188</c:v>
                </c:pt>
                <c:pt idx="88">
                  <c:v>0.87260086563733408</c:v>
                </c:pt>
                <c:pt idx="89">
                  <c:v>0.87628807427704958</c:v>
                </c:pt>
                <c:pt idx="90">
                  <c:v>0.88063149233666282</c:v>
                </c:pt>
                <c:pt idx="91">
                  <c:v>0.88457683244627994</c:v>
                </c:pt>
                <c:pt idx="92">
                  <c:v>0.88802090524634048</c:v>
                </c:pt>
                <c:pt idx="93">
                  <c:v>0.8902230524539656</c:v>
                </c:pt>
                <c:pt idx="94">
                  <c:v>0.89369746435902886</c:v>
                </c:pt>
                <c:pt idx="95">
                  <c:v>0.89651209545703914</c:v>
                </c:pt>
                <c:pt idx="96">
                  <c:v>0.90082599520255602</c:v>
                </c:pt>
                <c:pt idx="97">
                  <c:v>0.90462721279613001</c:v>
                </c:pt>
                <c:pt idx="98">
                  <c:v>0.90931310922574304</c:v>
                </c:pt>
                <c:pt idx="99">
                  <c:v>0.91368496275277256</c:v>
                </c:pt>
                <c:pt idx="100">
                  <c:v>0.91753087042995762</c:v>
                </c:pt>
                <c:pt idx="101">
                  <c:v>0.92233767397110888</c:v>
                </c:pt>
                <c:pt idx="102">
                  <c:v>0.92692530863632461</c:v>
                </c:pt>
                <c:pt idx="103">
                  <c:v>0.93048599858013015</c:v>
                </c:pt>
                <c:pt idx="104">
                  <c:v>0.93435336972035032</c:v>
                </c:pt>
                <c:pt idx="105">
                  <c:v>0.93919308511096744</c:v>
                </c:pt>
                <c:pt idx="106">
                  <c:v>0.94256026345987765</c:v>
                </c:pt>
                <c:pt idx="107">
                  <c:v>0.94717207136507509</c:v>
                </c:pt>
                <c:pt idx="108">
                  <c:v>0.95092359870710697</c:v>
                </c:pt>
                <c:pt idx="109">
                  <c:v>0.9555452578312803</c:v>
                </c:pt>
                <c:pt idx="110">
                  <c:v>0.95949589638982113</c:v>
                </c:pt>
                <c:pt idx="111">
                  <c:v>0.96344379832057392</c:v>
                </c:pt>
                <c:pt idx="112">
                  <c:v>0.96717432849067797</c:v>
                </c:pt>
                <c:pt idx="113">
                  <c:v>0.97074491292313225</c:v>
                </c:pt>
                <c:pt idx="114">
                  <c:v>0.97482669387972498</c:v>
                </c:pt>
                <c:pt idx="115">
                  <c:v>0.97867799135686107</c:v>
                </c:pt>
                <c:pt idx="116">
                  <c:v>0.98271857065282431</c:v>
                </c:pt>
                <c:pt idx="117">
                  <c:v>0.98712511381992973</c:v>
                </c:pt>
                <c:pt idx="118">
                  <c:v>0.99114289996945326</c:v>
                </c:pt>
                <c:pt idx="119">
                  <c:v>0.99563405408612804</c:v>
                </c:pt>
                <c:pt idx="12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65-40C2-BFC9-1ED045C66B3F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CIR!$A$54:$DQ$54</c:f>
              <c:numCache>
                <c:formatCode>0.0000</c:formatCode>
                <c:ptCount val="121"/>
                <c:pt idx="0">
                  <c:v>0.64406656131390982</c:v>
                </c:pt>
                <c:pt idx="1">
                  <c:v>0.6452238638611314</c:v>
                </c:pt>
                <c:pt idx="2">
                  <c:v>0.64599374585635849</c:v>
                </c:pt>
                <c:pt idx="3">
                  <c:v>0.647203152952045</c:v>
                </c:pt>
                <c:pt idx="4">
                  <c:v>0.64904270691180121</c:v>
                </c:pt>
                <c:pt idx="5">
                  <c:v>0.64988554408011368</c:v>
                </c:pt>
                <c:pt idx="6">
                  <c:v>0.65142550611682692</c:v>
                </c:pt>
                <c:pt idx="7">
                  <c:v>0.65224435828307714</c:v>
                </c:pt>
                <c:pt idx="8">
                  <c:v>0.65362548285043887</c:v>
                </c:pt>
                <c:pt idx="9">
                  <c:v>0.6547592282020166</c:v>
                </c:pt>
                <c:pt idx="10">
                  <c:v>0.65751739154996658</c:v>
                </c:pt>
                <c:pt idx="11">
                  <c:v>0.65865561741444711</c:v>
                </c:pt>
                <c:pt idx="12">
                  <c:v>0.65902109229192196</c:v>
                </c:pt>
                <c:pt idx="13">
                  <c:v>0.66155976763687474</c:v>
                </c:pt>
                <c:pt idx="14">
                  <c:v>0.66416596780849357</c:v>
                </c:pt>
                <c:pt idx="15">
                  <c:v>0.66553114391973489</c:v>
                </c:pt>
                <c:pt idx="16">
                  <c:v>0.66675300044930186</c:v>
                </c:pt>
                <c:pt idx="17">
                  <c:v>0.66819793662728599</c:v>
                </c:pt>
                <c:pt idx="18">
                  <c:v>0.67063370388292876</c:v>
                </c:pt>
                <c:pt idx="19">
                  <c:v>0.67219969776827559</c:v>
                </c:pt>
                <c:pt idx="20">
                  <c:v>0.67446397866581942</c:v>
                </c:pt>
                <c:pt idx="21">
                  <c:v>0.67551459728588759</c:v>
                </c:pt>
                <c:pt idx="22">
                  <c:v>0.67814969660370561</c:v>
                </c:pt>
                <c:pt idx="23">
                  <c:v>0.68104157504139262</c:v>
                </c:pt>
                <c:pt idx="24">
                  <c:v>0.68365754030245873</c:v>
                </c:pt>
                <c:pt idx="25">
                  <c:v>0.68471974389111778</c:v>
                </c:pt>
                <c:pt idx="26">
                  <c:v>0.68814635346785646</c:v>
                </c:pt>
                <c:pt idx="27">
                  <c:v>0.69020116806701526</c:v>
                </c:pt>
                <c:pt idx="28">
                  <c:v>0.69260187795705419</c:v>
                </c:pt>
                <c:pt idx="29">
                  <c:v>0.69485023922265376</c:v>
                </c:pt>
                <c:pt idx="30">
                  <c:v>0.69593744609921737</c:v>
                </c:pt>
                <c:pt idx="31">
                  <c:v>0.69820891710063948</c:v>
                </c:pt>
                <c:pt idx="32">
                  <c:v>0.70141161369616156</c:v>
                </c:pt>
                <c:pt idx="33">
                  <c:v>0.70425907016598854</c:v>
                </c:pt>
                <c:pt idx="34">
                  <c:v>0.70809927371222559</c:v>
                </c:pt>
                <c:pt idx="35">
                  <c:v>0.71169735804056955</c:v>
                </c:pt>
                <c:pt idx="36">
                  <c:v>0.71454831533574914</c:v>
                </c:pt>
                <c:pt idx="37">
                  <c:v>0.71636090559355547</c:v>
                </c:pt>
                <c:pt idx="38">
                  <c:v>0.7166657389981872</c:v>
                </c:pt>
                <c:pt idx="39">
                  <c:v>0.7178007577433112</c:v>
                </c:pt>
                <c:pt idx="40">
                  <c:v>0.72157180458876702</c:v>
                </c:pt>
                <c:pt idx="41">
                  <c:v>0.72543243201278174</c:v>
                </c:pt>
                <c:pt idx="42">
                  <c:v>0.72696582502836304</c:v>
                </c:pt>
                <c:pt idx="43">
                  <c:v>0.72903386678694437</c:v>
                </c:pt>
                <c:pt idx="44">
                  <c:v>0.73302033529460053</c:v>
                </c:pt>
                <c:pt idx="45">
                  <c:v>0.73608096189873518</c:v>
                </c:pt>
                <c:pt idx="46">
                  <c:v>0.73883825946900294</c:v>
                </c:pt>
                <c:pt idx="47">
                  <c:v>0.74180663942894431</c:v>
                </c:pt>
                <c:pt idx="48">
                  <c:v>0.74644754085846166</c:v>
                </c:pt>
                <c:pt idx="49">
                  <c:v>0.75032967157461405</c:v>
                </c:pt>
                <c:pt idx="50">
                  <c:v>0.7527710122411414</c:v>
                </c:pt>
                <c:pt idx="51">
                  <c:v>0.75523542362409235</c:v>
                </c:pt>
                <c:pt idx="52">
                  <c:v>0.75896942652560029</c:v>
                </c:pt>
                <c:pt idx="53">
                  <c:v>0.76125099816422503</c:v>
                </c:pt>
                <c:pt idx="54">
                  <c:v>0.76410023540030447</c:v>
                </c:pt>
                <c:pt idx="55">
                  <c:v>0.76828333124317472</c:v>
                </c:pt>
                <c:pt idx="56">
                  <c:v>0.77007304487372596</c:v>
                </c:pt>
                <c:pt idx="57">
                  <c:v>0.77391183717967871</c:v>
                </c:pt>
                <c:pt idx="58">
                  <c:v>0.7781456423523716</c:v>
                </c:pt>
                <c:pt idx="59">
                  <c:v>0.78131010018450009</c:v>
                </c:pt>
                <c:pt idx="60">
                  <c:v>0.78384432826719108</c:v>
                </c:pt>
                <c:pt idx="61">
                  <c:v>0.78672211744449549</c:v>
                </c:pt>
                <c:pt idx="62">
                  <c:v>0.79061840826014085</c:v>
                </c:pt>
                <c:pt idx="63">
                  <c:v>0.79517463236967223</c:v>
                </c:pt>
                <c:pt idx="64">
                  <c:v>0.79840354859878127</c:v>
                </c:pt>
                <c:pt idx="65">
                  <c:v>0.80139591049766401</c:v>
                </c:pt>
                <c:pt idx="66">
                  <c:v>0.80474722193569992</c:v>
                </c:pt>
                <c:pt idx="67">
                  <c:v>0.80769127029513221</c:v>
                </c:pt>
                <c:pt idx="68">
                  <c:v>0.81058346506728673</c:v>
                </c:pt>
                <c:pt idx="69">
                  <c:v>0.81413623313651384</c:v>
                </c:pt>
                <c:pt idx="70">
                  <c:v>0.81711984600171783</c:v>
                </c:pt>
                <c:pt idx="71">
                  <c:v>0.82023702158850154</c:v>
                </c:pt>
                <c:pt idx="72">
                  <c:v>0.82325508027491368</c:v>
                </c:pt>
                <c:pt idx="73">
                  <c:v>0.8270760135592462</c:v>
                </c:pt>
                <c:pt idx="74">
                  <c:v>0.83134282570623919</c:v>
                </c:pt>
                <c:pt idx="75">
                  <c:v>0.83356893001680188</c:v>
                </c:pt>
                <c:pt idx="76">
                  <c:v>0.83818318677320058</c:v>
                </c:pt>
                <c:pt idx="77">
                  <c:v>0.84098512713953277</c:v>
                </c:pt>
                <c:pt idx="78">
                  <c:v>0.84447470551077286</c:v>
                </c:pt>
                <c:pt idx="79">
                  <c:v>0.8465143076841154</c:v>
                </c:pt>
                <c:pt idx="80">
                  <c:v>0.84831422293671221</c:v>
                </c:pt>
                <c:pt idx="81">
                  <c:v>0.85264238026261008</c:v>
                </c:pt>
                <c:pt idx="82">
                  <c:v>0.85784507448617775</c:v>
                </c:pt>
                <c:pt idx="83">
                  <c:v>0.86189113243833537</c:v>
                </c:pt>
                <c:pt idx="84">
                  <c:v>0.86510400123362619</c:v>
                </c:pt>
                <c:pt idx="85">
                  <c:v>0.86825706598210983</c:v>
                </c:pt>
                <c:pt idx="86">
                  <c:v>0.87300615958968908</c:v>
                </c:pt>
                <c:pt idx="87">
                  <c:v>0.8762010137317382</c:v>
                </c:pt>
                <c:pt idx="88">
                  <c:v>0.87769309513619809</c:v>
                </c:pt>
                <c:pt idx="89">
                  <c:v>0.88157976193810761</c:v>
                </c:pt>
                <c:pt idx="90">
                  <c:v>0.88455259060474833</c:v>
                </c:pt>
                <c:pt idx="91">
                  <c:v>0.88808370193587804</c:v>
                </c:pt>
                <c:pt idx="92">
                  <c:v>0.8905482690376354</c:v>
                </c:pt>
                <c:pt idx="93">
                  <c:v>0.89474579459725467</c:v>
                </c:pt>
                <c:pt idx="94">
                  <c:v>0.89854734079446819</c:v>
                </c:pt>
                <c:pt idx="95">
                  <c:v>0.90209360415108708</c:v>
                </c:pt>
                <c:pt idx="96">
                  <c:v>0.90647466543283362</c:v>
                </c:pt>
                <c:pt idx="97">
                  <c:v>0.91019353207747911</c:v>
                </c:pt>
                <c:pt idx="98">
                  <c:v>0.91454543185214932</c:v>
                </c:pt>
                <c:pt idx="99">
                  <c:v>0.91806866602326931</c:v>
                </c:pt>
                <c:pt idx="100">
                  <c:v>0.92121934608837808</c:v>
                </c:pt>
                <c:pt idx="101">
                  <c:v>0.92458188278794906</c:v>
                </c:pt>
                <c:pt idx="102">
                  <c:v>0.92738816178023742</c:v>
                </c:pt>
                <c:pt idx="103">
                  <c:v>0.93067223416132017</c:v>
                </c:pt>
                <c:pt idx="104">
                  <c:v>0.93521172357984306</c:v>
                </c:pt>
                <c:pt idx="105">
                  <c:v>0.93749606164462163</c:v>
                </c:pt>
                <c:pt idx="106">
                  <c:v>0.94123525608925374</c:v>
                </c:pt>
                <c:pt idx="107">
                  <c:v>0.94541136075653154</c:v>
                </c:pt>
                <c:pt idx="108">
                  <c:v>0.94937947598709738</c:v>
                </c:pt>
                <c:pt idx="109">
                  <c:v>0.95318344599616778</c:v>
                </c:pt>
                <c:pt idx="110">
                  <c:v>0.95793647949355554</c:v>
                </c:pt>
                <c:pt idx="111">
                  <c:v>0.96245104927639336</c:v>
                </c:pt>
                <c:pt idx="112">
                  <c:v>0.96647191593435078</c:v>
                </c:pt>
                <c:pt idx="113">
                  <c:v>0.97032638417738359</c:v>
                </c:pt>
                <c:pt idx="114">
                  <c:v>0.97407870153263687</c:v>
                </c:pt>
                <c:pt idx="115">
                  <c:v>0.97853122844496132</c:v>
                </c:pt>
                <c:pt idx="116">
                  <c:v>0.98296576032025862</c:v>
                </c:pt>
                <c:pt idx="117">
                  <c:v>0.98729000400547962</c:v>
                </c:pt>
                <c:pt idx="118">
                  <c:v>0.99156281694391069</c:v>
                </c:pt>
                <c:pt idx="119">
                  <c:v>0.9957688399388489</c:v>
                </c:pt>
                <c:pt idx="12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65-40C2-BFC9-1ED045C66B3F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CIR!$A$30:$DQ$30</c:f>
              <c:strCache>
                <c:ptCount val="121"/>
                <c:pt idx="0">
                  <c:v>0</c:v>
                </c:pt>
                <c:pt idx="12">
                  <c:v>1</c:v>
                </c:pt>
                <c:pt idx="24">
                  <c:v>2</c:v>
                </c:pt>
                <c:pt idx="36">
                  <c:v>3</c:v>
                </c:pt>
                <c:pt idx="48">
                  <c:v>4</c:v>
                </c:pt>
                <c:pt idx="60">
                  <c:v>5</c:v>
                </c:pt>
                <c:pt idx="72">
                  <c:v>6</c:v>
                </c:pt>
                <c:pt idx="84">
                  <c:v>7</c:v>
                </c:pt>
                <c:pt idx="96">
                  <c:v>8</c:v>
                </c:pt>
                <c:pt idx="108">
                  <c:v>9</c:v>
                </c:pt>
                <c:pt idx="120">
                  <c:v>10</c:v>
                </c:pt>
              </c:strCache>
            </c:strRef>
          </c:cat>
          <c:val>
            <c:numRef>
              <c:f>CIR!$A$55:$DQ$55</c:f>
              <c:numCache>
                <c:formatCode>0.0000</c:formatCode>
                <c:ptCount val="121"/>
                <c:pt idx="0">
                  <c:v>0.64406656131390982</c:v>
                </c:pt>
                <c:pt idx="1">
                  <c:v>0.64482387552409104</c:v>
                </c:pt>
                <c:pt idx="2">
                  <c:v>0.64609805886366545</c:v>
                </c:pt>
                <c:pt idx="3">
                  <c:v>0.64717689753111007</c:v>
                </c:pt>
                <c:pt idx="4">
                  <c:v>0.64758768403211309</c:v>
                </c:pt>
                <c:pt idx="5">
                  <c:v>0.6484506141864731</c:v>
                </c:pt>
                <c:pt idx="6">
                  <c:v>0.64989030059775288</c:v>
                </c:pt>
                <c:pt idx="7">
                  <c:v>0.65213498003473902</c:v>
                </c:pt>
                <c:pt idx="8">
                  <c:v>0.65421077454838372</c:v>
                </c:pt>
                <c:pt idx="9">
                  <c:v>0.65566687571077753</c:v>
                </c:pt>
                <c:pt idx="10">
                  <c:v>0.65695978928420951</c:v>
                </c:pt>
                <c:pt idx="11">
                  <c:v>0.65970288738659344</c:v>
                </c:pt>
                <c:pt idx="12">
                  <c:v>0.66041153960759647</c:v>
                </c:pt>
                <c:pt idx="13">
                  <c:v>0.66240632433413915</c:v>
                </c:pt>
                <c:pt idx="14">
                  <c:v>0.66261967075630335</c:v>
                </c:pt>
                <c:pt idx="15">
                  <c:v>0.66561068224279551</c:v>
                </c:pt>
                <c:pt idx="16">
                  <c:v>0.66666865018807642</c:v>
                </c:pt>
                <c:pt idx="17">
                  <c:v>0.66849010083597549</c:v>
                </c:pt>
                <c:pt idx="18">
                  <c:v>0.67112069192892432</c:v>
                </c:pt>
                <c:pt idx="19">
                  <c:v>0.67208995675658467</c:v>
                </c:pt>
                <c:pt idx="20">
                  <c:v>0.67518318152945833</c:v>
                </c:pt>
                <c:pt idx="21">
                  <c:v>0.67744899409191039</c:v>
                </c:pt>
                <c:pt idx="22">
                  <c:v>0.67980995767700414</c:v>
                </c:pt>
                <c:pt idx="23">
                  <c:v>0.68210843905744034</c:v>
                </c:pt>
                <c:pt idx="24">
                  <c:v>0.68501823212474888</c:v>
                </c:pt>
                <c:pt idx="25">
                  <c:v>0.68635983071795548</c:v>
                </c:pt>
                <c:pt idx="26">
                  <c:v>0.68705157157716945</c:v>
                </c:pt>
                <c:pt idx="27">
                  <c:v>0.68922273205426621</c:v>
                </c:pt>
                <c:pt idx="28">
                  <c:v>0.69207897517546002</c:v>
                </c:pt>
                <c:pt idx="29">
                  <c:v>0.69296090574135261</c:v>
                </c:pt>
                <c:pt idx="30">
                  <c:v>0.69487611507391278</c:v>
                </c:pt>
                <c:pt idx="31">
                  <c:v>0.69637611938586785</c:v>
                </c:pt>
                <c:pt idx="32">
                  <c:v>0.69896627587956695</c:v>
                </c:pt>
                <c:pt idx="33">
                  <c:v>0.70172405364740931</c:v>
                </c:pt>
                <c:pt idx="34">
                  <c:v>0.70528192462598838</c:v>
                </c:pt>
                <c:pt idx="35">
                  <c:v>0.70816512705055468</c:v>
                </c:pt>
                <c:pt idx="36">
                  <c:v>0.71168361602203734</c:v>
                </c:pt>
                <c:pt idx="37">
                  <c:v>0.71509339978151698</c:v>
                </c:pt>
                <c:pt idx="38">
                  <c:v>0.7183198917014888</c:v>
                </c:pt>
                <c:pt idx="39">
                  <c:v>0.72117301217847118</c:v>
                </c:pt>
                <c:pt idx="40">
                  <c:v>0.72425506912522808</c:v>
                </c:pt>
                <c:pt idx="41">
                  <c:v>0.72651003173247442</c:v>
                </c:pt>
                <c:pt idx="42">
                  <c:v>0.72927990514472296</c:v>
                </c:pt>
                <c:pt idx="43">
                  <c:v>0.73199008252301889</c:v>
                </c:pt>
                <c:pt idx="44">
                  <c:v>0.73576203213428437</c:v>
                </c:pt>
                <c:pt idx="45">
                  <c:v>0.73768248706720463</c:v>
                </c:pt>
                <c:pt idx="46">
                  <c:v>0.74023821658864764</c:v>
                </c:pt>
                <c:pt idx="47">
                  <c:v>0.74365549798914776</c:v>
                </c:pt>
                <c:pt idx="48">
                  <c:v>0.74641110022683288</c:v>
                </c:pt>
                <c:pt idx="49">
                  <c:v>0.74938284031896962</c:v>
                </c:pt>
                <c:pt idx="50">
                  <c:v>0.75195625033211888</c:v>
                </c:pt>
                <c:pt idx="51">
                  <c:v>0.75525126200485027</c:v>
                </c:pt>
                <c:pt idx="52">
                  <c:v>0.75741109618624847</c:v>
                </c:pt>
                <c:pt idx="53">
                  <c:v>0.76200846266528877</c:v>
                </c:pt>
                <c:pt idx="54">
                  <c:v>0.7650687645364902</c:v>
                </c:pt>
                <c:pt idx="55">
                  <c:v>0.76852304141779426</c:v>
                </c:pt>
                <c:pt idx="56">
                  <c:v>0.77284964096155429</c:v>
                </c:pt>
                <c:pt idx="57">
                  <c:v>0.77486487792602332</c:v>
                </c:pt>
                <c:pt idx="58">
                  <c:v>0.77794600203291342</c:v>
                </c:pt>
                <c:pt idx="59">
                  <c:v>0.78171490397836241</c:v>
                </c:pt>
                <c:pt idx="60">
                  <c:v>0.7822808697868231</c:v>
                </c:pt>
                <c:pt idx="61">
                  <c:v>0.7860910715746755</c:v>
                </c:pt>
                <c:pt idx="62">
                  <c:v>0.79013544841146011</c:v>
                </c:pt>
                <c:pt idx="63">
                  <c:v>0.79354418911906788</c:v>
                </c:pt>
                <c:pt idx="64">
                  <c:v>0.79761601279948124</c:v>
                </c:pt>
                <c:pt idx="65">
                  <c:v>0.80101296221198914</c:v>
                </c:pt>
                <c:pt idx="66">
                  <c:v>0.80482332852777139</c:v>
                </c:pt>
                <c:pt idx="67">
                  <c:v>0.80854343778271376</c:v>
                </c:pt>
                <c:pt idx="68">
                  <c:v>0.81342635613264169</c:v>
                </c:pt>
                <c:pt idx="69">
                  <c:v>0.8170825586712317</c:v>
                </c:pt>
                <c:pt idx="70">
                  <c:v>0.82095181968066244</c:v>
                </c:pt>
                <c:pt idx="71">
                  <c:v>0.8237659735836077</c:v>
                </c:pt>
                <c:pt idx="72">
                  <c:v>0.8280532796765453</c:v>
                </c:pt>
                <c:pt idx="73">
                  <c:v>0.83083379880223207</c:v>
                </c:pt>
                <c:pt idx="74">
                  <c:v>0.83269622113313113</c:v>
                </c:pt>
                <c:pt idx="75">
                  <c:v>0.83726849823803273</c:v>
                </c:pt>
                <c:pt idx="76">
                  <c:v>0.83942902424247601</c:v>
                </c:pt>
                <c:pt idx="77">
                  <c:v>0.84346248823746128</c:v>
                </c:pt>
                <c:pt idx="78">
                  <c:v>0.84739067819780323</c:v>
                </c:pt>
                <c:pt idx="79">
                  <c:v>0.84831943568857582</c:v>
                </c:pt>
                <c:pt idx="80">
                  <c:v>0.85144030247300051</c:v>
                </c:pt>
                <c:pt idx="81">
                  <c:v>0.85427144216328288</c:v>
                </c:pt>
                <c:pt idx="82">
                  <c:v>0.8566701930384969</c:v>
                </c:pt>
                <c:pt idx="83">
                  <c:v>0.85886649110479119</c:v>
                </c:pt>
                <c:pt idx="84">
                  <c:v>0.86192034359195924</c:v>
                </c:pt>
                <c:pt idx="85">
                  <c:v>0.86685681353574706</c:v>
                </c:pt>
                <c:pt idx="86">
                  <c:v>0.87002366422194277</c:v>
                </c:pt>
                <c:pt idx="87">
                  <c:v>0.87413112050193398</c:v>
                </c:pt>
                <c:pt idx="88">
                  <c:v>0.87590000677695301</c:v>
                </c:pt>
                <c:pt idx="89">
                  <c:v>0.87993110464648261</c:v>
                </c:pt>
                <c:pt idx="90">
                  <c:v>0.88491686385570967</c:v>
                </c:pt>
                <c:pt idx="91">
                  <c:v>0.88855216428966377</c:v>
                </c:pt>
                <c:pt idx="92">
                  <c:v>0.89194704124398183</c:v>
                </c:pt>
                <c:pt idx="93">
                  <c:v>0.89522280261789744</c:v>
                </c:pt>
                <c:pt idx="94">
                  <c:v>0.89878788661157616</c:v>
                </c:pt>
                <c:pt idx="95">
                  <c:v>0.90250731708259779</c:v>
                </c:pt>
                <c:pt idx="96">
                  <c:v>0.90595246708686583</c:v>
                </c:pt>
                <c:pt idx="97">
                  <c:v>0.91011113068456295</c:v>
                </c:pt>
                <c:pt idx="98">
                  <c:v>0.91395645025981809</c:v>
                </c:pt>
                <c:pt idx="99">
                  <c:v>0.91754070482555927</c:v>
                </c:pt>
                <c:pt idx="100">
                  <c:v>0.92078051705753283</c:v>
                </c:pt>
                <c:pt idx="101">
                  <c:v>0.92484692650436195</c:v>
                </c:pt>
                <c:pt idx="102">
                  <c:v>0.92858842173421763</c:v>
                </c:pt>
                <c:pt idx="103">
                  <c:v>0.93147266479799185</c:v>
                </c:pt>
                <c:pt idx="104">
                  <c:v>0.93388565235321652</c:v>
                </c:pt>
                <c:pt idx="105">
                  <c:v>0.93761242906393261</c:v>
                </c:pt>
                <c:pt idx="106">
                  <c:v>0.94084812610992163</c:v>
                </c:pt>
                <c:pt idx="107">
                  <c:v>0.94494725083437581</c:v>
                </c:pt>
                <c:pt idx="108">
                  <c:v>0.94986167796059517</c:v>
                </c:pt>
                <c:pt idx="109">
                  <c:v>0.95383815158973151</c:v>
                </c:pt>
                <c:pt idx="110">
                  <c:v>0.9578214290704643</c:v>
                </c:pt>
                <c:pt idx="111">
                  <c:v>0.9623293482989711</c:v>
                </c:pt>
                <c:pt idx="112">
                  <c:v>0.96612495788154507</c:v>
                </c:pt>
                <c:pt idx="113">
                  <c:v>0.96981139999189747</c:v>
                </c:pt>
                <c:pt idx="114">
                  <c:v>0.97392972065640937</c:v>
                </c:pt>
                <c:pt idx="115">
                  <c:v>0.978487155664578</c:v>
                </c:pt>
                <c:pt idx="116">
                  <c:v>0.9827168229171851</c:v>
                </c:pt>
                <c:pt idx="117">
                  <c:v>0.98691913984413604</c:v>
                </c:pt>
                <c:pt idx="118">
                  <c:v>0.99129491506702805</c:v>
                </c:pt>
                <c:pt idx="119">
                  <c:v>0.99564462814206578</c:v>
                </c:pt>
                <c:pt idx="12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65-40C2-BFC9-1ED045C66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550272"/>
        <c:axId val="1462161984"/>
      </c:lineChart>
      <c:catAx>
        <c:axId val="335502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161984"/>
        <c:crosses val="autoZero"/>
        <c:auto val="1"/>
        <c:lblAlgn val="ctr"/>
        <c:lblOffset val="100"/>
        <c:noMultiLvlLbl val="0"/>
      </c:catAx>
      <c:valAx>
        <c:axId val="146216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550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0</xdr:rowOff>
    </xdr:from>
    <xdr:to>
      <xdr:col>10</xdr:col>
      <xdr:colOff>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5FAE89-94C3-5D19-86C1-1B6D9B17A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8</xdr:col>
      <xdr:colOff>0</xdr:colOff>
      <xdr:row>28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DFEF31-9AAB-4844-B9F4-5A1231C675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</xdr:row>
      <xdr:rowOff>0</xdr:rowOff>
    </xdr:from>
    <xdr:to>
      <xdr:col>17</xdr:col>
      <xdr:colOff>0</xdr:colOff>
      <xdr:row>28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138A5C-C5BC-C8A3-B41F-81996306E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C1D19-0528-4CDA-95D2-1EF744094B20}">
  <dimension ref="A1:N16"/>
  <sheetViews>
    <sheetView workbookViewId="0">
      <selection activeCell="B2" sqref="B2"/>
    </sheetView>
  </sheetViews>
  <sheetFormatPr defaultRowHeight="14.4" x14ac:dyDescent="0.3"/>
  <cols>
    <col min="1" max="1" width="13.5546875" bestFit="1" customWidth="1"/>
    <col min="2" max="3" width="9.109375" bestFit="1" customWidth="1"/>
  </cols>
  <sheetData>
    <row r="1" spans="1:14" s="11" customFormat="1" ht="18" x14ac:dyDescent="0.35">
      <c r="A1" s="10" t="s">
        <v>7</v>
      </c>
    </row>
    <row r="2" spans="1:14" x14ac:dyDescent="0.3">
      <c r="A2" t="s">
        <v>2</v>
      </c>
      <c r="B2" s="7">
        <v>0.4</v>
      </c>
    </row>
    <row r="3" spans="1:14" x14ac:dyDescent="0.3">
      <c r="A3" t="s">
        <v>6</v>
      </c>
      <c r="B3" s="5">
        <f ca="1">CORREL(D9:J9,C9:I9)</f>
        <v>0.41984270566643095</v>
      </c>
    </row>
    <row r="5" spans="1:14" x14ac:dyDescent="0.3">
      <c r="A5" s="4" t="s">
        <v>8</v>
      </c>
      <c r="B5" cm="1">
        <f t="array" aca="1" ref="B5:N5" ca="1">_xlfn.SEQUENCE(1,COUNT(_xlfn.ANCHORARRAY(B14)),0)</f>
        <v>0</v>
      </c>
      <c r="C5">
        <f ca="1"/>
        <v>1</v>
      </c>
      <c r="D5">
        <f ca="1"/>
        <v>2</v>
      </c>
      <c r="E5">
        <f ca="1"/>
        <v>3</v>
      </c>
      <c r="F5">
        <f ca="1"/>
        <v>4</v>
      </c>
      <c r="G5">
        <f ca="1"/>
        <v>5</v>
      </c>
      <c r="H5">
        <f ca="1"/>
        <v>6</v>
      </c>
      <c r="I5">
        <f ca="1"/>
        <v>7</v>
      </c>
      <c r="J5">
        <f ca="1"/>
        <v>8</v>
      </c>
      <c r="K5">
        <f ca="1"/>
        <v>9</v>
      </c>
      <c r="L5">
        <f ca="1"/>
        <v>10</v>
      </c>
      <c r="M5">
        <f ca="1"/>
        <v>11</v>
      </c>
      <c r="N5">
        <f ca="1"/>
        <v>12</v>
      </c>
    </row>
    <row r="6" spans="1:14" s="2" customFormat="1" x14ac:dyDescent="0.3"/>
    <row r="7" spans="1:14" x14ac:dyDescent="0.3">
      <c r="A7" s="4" t="s">
        <v>5</v>
      </c>
    </row>
    <row r="8" spans="1:14" s="6" customFormat="1" x14ac:dyDescent="0.3">
      <c r="A8" s="8" t="str" cm="1">
        <f t="array" ref="A8:A10">A13:A15</f>
        <v>True</v>
      </c>
      <c r="B8" s="9"/>
      <c r="C8" s="6">
        <v>0.02</v>
      </c>
      <c r="D8" s="6">
        <v>0.05</v>
      </c>
      <c r="E8" s="6">
        <v>-0.2</v>
      </c>
      <c r="F8" s="6">
        <v>-0.1</v>
      </c>
      <c r="G8" s="6">
        <v>0.15</v>
      </c>
      <c r="H8" s="6">
        <v>0.25</v>
      </c>
      <c r="I8" s="6">
        <v>0.27</v>
      </c>
      <c r="J8" s="6">
        <v>-0.15</v>
      </c>
      <c r="K8" s="6">
        <v>-0.05</v>
      </c>
      <c r="L8" s="6">
        <v>0.1</v>
      </c>
      <c r="M8" s="6">
        <v>0.12</v>
      </c>
      <c r="N8" s="6">
        <v>-0.25</v>
      </c>
    </row>
    <row r="9" spans="1:14" s="1" customFormat="1" x14ac:dyDescent="0.3">
      <c r="A9" s="2" t="str">
        <v>Smoothed</v>
      </c>
      <c r="C9" s="1" cm="1">
        <f t="array" aca="1" ref="C9:N9" ca="1">_xlfn.DROP(_xlfn.ANCHORARRAY(B14),,1)/_xlfn.DROP(_xlfn.ANCHORARRAY(B14),,-1)-1</f>
        <v>8.0000000000000071E-3</v>
      </c>
      <c r="D9" s="1">
        <f ca="1"/>
        <v>2.4999999999999911E-2</v>
      </c>
      <c r="E9" s="1">
        <f ca="1"/>
        <v>-6.8292682926829218E-2</v>
      </c>
      <c r="F9" s="1">
        <f ca="1"/>
        <v>-7.9581151832460617E-2</v>
      </c>
      <c r="G9" s="1">
        <f ca="1"/>
        <v>3.4129692832762792E-4</v>
      </c>
      <c r="H9" s="1">
        <f ca="1"/>
        <v>0.10025588536335728</v>
      </c>
      <c r="I9" s="1">
        <f ca="1"/>
        <v>0.17743383413182001</v>
      </c>
      <c r="J9" s="1">
        <f ca="1"/>
        <v>1.6854641665662529E-2</v>
      </c>
      <c r="K9" s="1">
        <f ca="1"/>
        <v>-1.05520952988023E-2</v>
      </c>
      <c r="L9" s="1">
        <f ca="1"/>
        <v>3.2961344539596871E-2</v>
      </c>
      <c r="M9" s="1">
        <f ca="1"/>
        <v>6.9443225971327571E-2</v>
      </c>
      <c r="N9" s="1">
        <f ca="1"/>
        <v>-7.0779700195197304E-2</v>
      </c>
    </row>
    <row r="10" spans="1:14" s="1" customFormat="1" x14ac:dyDescent="0.3">
      <c r="A10" s="1" t="str">
        <v>Unsmoothed</v>
      </c>
      <c r="D10" s="1" cm="1">
        <f t="array" aca="1" ref="D10:N10" ca="1">(_xlfn.DROP(_xlfn.ANCHORARRAY(C9),,1)-B3*_xlfn.DROP(_xlfn.ANCHORARRAY(C9),,-1))/(1-B3)</f>
        <v>3.7302398101411331E-2</v>
      </c>
      <c r="E10" s="1">
        <f ca="1"/>
        <v>-0.13580584323945313</v>
      </c>
      <c r="F10" s="1">
        <f ca="1"/>
        <v>-8.7750283504959573E-2</v>
      </c>
      <c r="G10" s="1">
        <f ca="1"/>
        <v>5.817881351037929E-2</v>
      </c>
      <c r="H10" s="1">
        <f ca="1"/>
        <v>0.1725611231907937</v>
      </c>
      <c r="I10" s="1">
        <f ca="1"/>
        <v>0.23328523709652405</v>
      </c>
      <c r="J10" s="1">
        <f ca="1"/>
        <v>-9.9351779070916621E-2</v>
      </c>
      <c r="K10" s="1">
        <f ca="1"/>
        <v>-3.0385541698656187E-2</v>
      </c>
      <c r="L10" s="1">
        <f ca="1"/>
        <v>6.4450736283938326E-2</v>
      </c>
      <c r="M10" s="1">
        <f ca="1"/>
        <v>9.5844086492600677E-2</v>
      </c>
      <c r="N10" s="1">
        <f ca="1"/>
        <v>-0.17225489199786898</v>
      </c>
    </row>
    <row r="11" spans="1:14" s="1" customFormat="1" x14ac:dyDescent="0.3"/>
    <row r="12" spans="1:14" x14ac:dyDescent="0.3">
      <c r="A12" s="4" t="s">
        <v>3</v>
      </c>
    </row>
    <row r="13" spans="1:14" s="2" customFormat="1" x14ac:dyDescent="0.3">
      <c r="A13" s="3" t="s">
        <v>4</v>
      </c>
      <c r="B13" s="2">
        <v>100</v>
      </c>
      <c r="C13" s="2" cm="1">
        <f t="array" aca="1" ref="C13:N13" ca="1">_xlfn.SCAN(B13,OFFSET(C8,0,0,1,COUNT(8:8)),_xlfn.LAMBDA(_xlpm.p,_xlpm.r,_xlpm.p*(1+_xlpm.r)))</f>
        <v>102</v>
      </c>
      <c r="D13" s="2">
        <f ca="1"/>
        <v>107.10000000000001</v>
      </c>
      <c r="E13" s="2">
        <f ca="1"/>
        <v>85.68</v>
      </c>
      <c r="F13" s="2">
        <f ca="1"/>
        <v>77.112000000000009</v>
      </c>
      <c r="G13" s="2">
        <f ca="1"/>
        <v>88.67880000000001</v>
      </c>
      <c r="H13" s="2">
        <f ca="1"/>
        <v>110.84850000000002</v>
      </c>
      <c r="I13" s="2">
        <f ca="1"/>
        <v>140.77759500000002</v>
      </c>
      <c r="J13" s="2">
        <f ca="1"/>
        <v>119.66095575000001</v>
      </c>
      <c r="K13" s="2">
        <f ca="1"/>
        <v>113.6779079625</v>
      </c>
      <c r="L13" s="2">
        <f ca="1"/>
        <v>125.04569875875001</v>
      </c>
      <c r="M13" s="2">
        <f ca="1"/>
        <v>140.05118260980001</v>
      </c>
      <c r="N13" s="2">
        <f ca="1"/>
        <v>105.03838695735001</v>
      </c>
    </row>
    <row r="14" spans="1:14" s="2" customFormat="1" x14ac:dyDescent="0.3">
      <c r="A14" s="2" t="s">
        <v>0</v>
      </c>
      <c r="B14" s="2" cm="1">
        <f t="array" aca="1" ref="B14:N14" ca="1">_xlfn.REDUCE(
    B13,_xlfn.ANCHORARRAY( C13),
    _xlfn.LAMBDA(_xlpm.a,_xlpm.p,
        _xlfn.HSTACK(_xlpm.a, B2 * _xlpm.p + (1 - B2) * _xlfn.CHOOSECOLS(_xlpm.a, -1)
        )
    )
)</f>
        <v>100</v>
      </c>
      <c r="C14" s="2">
        <f ca="1"/>
        <v>100.80000000000001</v>
      </c>
      <c r="D14" s="2">
        <f ca="1"/>
        <v>103.32000000000001</v>
      </c>
      <c r="E14" s="2">
        <f ca="1"/>
        <v>96.26400000000001</v>
      </c>
      <c r="F14" s="2">
        <f ca="1"/>
        <v>88.603200000000015</v>
      </c>
      <c r="G14" s="2">
        <f ca="1"/>
        <v>88.633440000000007</v>
      </c>
      <c r="H14" s="2">
        <f ca="1"/>
        <v>97.519464000000013</v>
      </c>
      <c r="I14" s="2">
        <f ca="1"/>
        <v>114.82271640000002</v>
      </c>
      <c r="J14" s="2">
        <f ca="1"/>
        <v>116.75801214000001</v>
      </c>
      <c r="K14" s="2">
        <f ca="1"/>
        <v>115.52597046900001</v>
      </c>
      <c r="L14" s="2">
        <f ca="1"/>
        <v>119.33386178490002</v>
      </c>
      <c r="M14" s="2">
        <f ca="1"/>
        <v>127.62079011486001</v>
      </c>
      <c r="N14" s="2">
        <f ca="1"/>
        <v>118.58782885185602</v>
      </c>
    </row>
    <row r="15" spans="1:14" s="2" customFormat="1" x14ac:dyDescent="0.3">
      <c r="A15" s="2" t="s">
        <v>1</v>
      </c>
      <c r="C15" s="2">
        <f ca="1">C14</f>
        <v>100.80000000000001</v>
      </c>
      <c r="D15" s="2" cm="1">
        <f t="array" aca="1" ref="D15:N15" ca="1">_xlfn.SCAN(C15,_xlfn.ANCHORARRAY(D10),_xlfn.LAMBDA(_xlpm.p,_xlpm.r,_xlpm.p*(1+_xlpm.r)))</f>
        <v>104.56008172862228</v>
      </c>
      <c r="E15" s="2">
        <f ca="1"/>
        <v>90.360211660280598</v>
      </c>
      <c r="F15" s="2">
        <f ca="1"/>
        <v>82.431077469522819</v>
      </c>
      <c r="G15" s="2">
        <f ca="1"/>
        <v>87.226819753081813</v>
      </c>
      <c r="H15" s="2">
        <f ca="1"/>
        <v>102.27877774203452</v>
      </c>
      <c r="I15" s="2">
        <f ca="1"/>
        <v>126.13890665752774</v>
      </c>
      <c r="J15" s="2">
        <f ca="1"/>
        <v>113.60678187104207</v>
      </c>
      <c r="K15" s="2">
        <f ca="1"/>
        <v>110.1547782632494</v>
      </c>
      <c r="L15" s="2">
        <f ca="1"/>
        <v>117.25433482750979</v>
      </c>
      <c r="M15" s="2">
        <f ca="1"/>
        <v>128.49246943635001</v>
      </c>
      <c r="N15" s="2">
        <f ca="1"/>
        <v>106.35901299105205</v>
      </c>
    </row>
    <row r="16" spans="1:14" s="1" customFormat="1" x14ac:dyDescent="0.3"/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01E4C-6F4D-44AD-A044-A7961644B033}">
  <dimension ref="A1:I32"/>
  <sheetViews>
    <sheetView workbookViewId="0">
      <selection activeCell="F32" sqref="F32"/>
    </sheetView>
  </sheetViews>
  <sheetFormatPr defaultRowHeight="14.4" x14ac:dyDescent="0.3"/>
  <cols>
    <col min="1" max="5" width="8.88671875" style="12"/>
    <col min="6" max="6" width="8.88671875" style="24"/>
    <col min="7" max="16384" width="8.88671875" style="12"/>
  </cols>
  <sheetData>
    <row r="1" spans="1:9" s="14" customFormat="1" ht="18" x14ac:dyDescent="0.35">
      <c r="A1" s="14" t="s">
        <v>19</v>
      </c>
      <c r="F1" s="23"/>
    </row>
    <row r="3" spans="1:9" x14ac:dyDescent="0.3">
      <c r="A3" s="13" t="s">
        <v>9</v>
      </c>
    </row>
    <row r="4" spans="1:9" s="21" customFormat="1" ht="15" thickBot="1" x14ac:dyDescent="0.35">
      <c r="A4" s="19"/>
      <c r="B4" s="20" t="s">
        <v>15</v>
      </c>
      <c r="C4" s="20" t="s">
        <v>16</v>
      </c>
      <c r="D4" s="20" t="s">
        <v>17</v>
      </c>
      <c r="E4" s="20" t="s">
        <v>18</v>
      </c>
      <c r="F4" s="25" t="s">
        <v>20</v>
      </c>
    </row>
    <row r="5" spans="1:9" x14ac:dyDescent="0.3">
      <c r="A5" s="12" t="s">
        <v>11</v>
      </c>
      <c r="B5" s="12">
        <v>-0.06</v>
      </c>
      <c r="C5" s="12">
        <v>0.04</v>
      </c>
      <c r="D5" s="12">
        <v>0.04</v>
      </c>
      <c r="E5" s="12">
        <v>0.04</v>
      </c>
      <c r="F5" s="26" cm="1">
        <f t="array" ref="F5:F7">MMULT(B5:E7,TRANSPOSE(Carino(_xlfn.ANCHORARRAY(B8),)))/Carino(F8,)</f>
        <v>5.2116422638312634E-2</v>
      </c>
      <c r="I5" s="17"/>
    </row>
    <row r="6" spans="1:9" x14ac:dyDescent="0.3">
      <c r="A6" s="12" t="s">
        <v>12</v>
      </c>
      <c r="B6" s="12">
        <v>0.02</v>
      </c>
      <c r="C6" s="12">
        <v>-0.12</v>
      </c>
      <c r="D6" s="12">
        <v>-0.02</v>
      </c>
      <c r="E6" s="12">
        <v>0.06</v>
      </c>
      <c r="F6" s="26">
        <v>-6.7648847569390935E-2</v>
      </c>
    </row>
    <row r="7" spans="1:9" x14ac:dyDescent="0.3">
      <c r="A7" s="12" t="s">
        <v>13</v>
      </c>
      <c r="B7" s="12">
        <v>-0.12</v>
      </c>
      <c r="C7" s="12">
        <v>0.04</v>
      </c>
      <c r="D7" s="12">
        <v>0.21</v>
      </c>
      <c r="E7" s="12">
        <v>0.06</v>
      </c>
      <c r="F7" s="26">
        <v>0.16610394493107827</v>
      </c>
    </row>
    <row r="8" spans="1:9" ht="15" thickBot="1" x14ac:dyDescent="0.35">
      <c r="A8" s="15" t="s">
        <v>14</v>
      </c>
      <c r="B8" s="15" cm="1">
        <f t="array" ref="B8:E8">_xlfn.BYCOL(B5:E7,_xleta.SUM)</f>
        <v>-0.15999999999999998</v>
      </c>
      <c r="C8" s="15">
        <v>-3.9999999999999987E-2</v>
      </c>
      <c r="D8" s="15">
        <v>0.22999999999999998</v>
      </c>
      <c r="E8" s="15">
        <v>0.16</v>
      </c>
      <c r="F8" s="27">
        <f>FVSCHEDULE(1,_xlfn.ANCHORARRAY(B8))-1</f>
        <v>0.15057151999999996</v>
      </c>
    </row>
    <row r="9" spans="1:9" x14ac:dyDescent="0.3">
      <c r="F9" s="26"/>
    </row>
    <row r="10" spans="1:9" x14ac:dyDescent="0.3">
      <c r="A10" s="13" t="s">
        <v>10</v>
      </c>
      <c r="F10" s="26"/>
    </row>
    <row r="11" spans="1:9" s="21" customFormat="1" ht="15" thickBot="1" x14ac:dyDescent="0.35">
      <c r="A11" s="19"/>
      <c r="B11" s="20" t="str" cm="1">
        <f t="array" ref="B11:F11">B4:F4</f>
        <v>Q1</v>
      </c>
      <c r="C11" s="20" t="str">
        <v>Q2</v>
      </c>
      <c r="D11" s="20" t="str">
        <v>Q3</v>
      </c>
      <c r="E11" s="20" t="str">
        <v>Q4</v>
      </c>
      <c r="F11" s="28" t="str">
        <v>YTD</v>
      </c>
    </row>
    <row r="12" spans="1:9" x14ac:dyDescent="0.3">
      <c r="A12" s="12" t="str" cm="1">
        <f t="array" ref="A12:A14">A5:A7</f>
        <v>Sector 1</v>
      </c>
      <c r="B12" s="12">
        <v>0</v>
      </c>
      <c r="C12" s="12">
        <v>0.03</v>
      </c>
      <c r="D12" s="12">
        <v>-0.06</v>
      </c>
      <c r="E12" s="12">
        <v>0.08</v>
      </c>
      <c r="F12" s="26" cm="1">
        <f t="array" ref="F12:F14">MMULT(B12:E14,TRANSPOSE(Carino(_xlfn.ANCHORARRAY(B15),)))/Carino(F15,)</f>
        <v>3.9486899760215431E-2</v>
      </c>
    </row>
    <row r="13" spans="1:9" x14ac:dyDescent="0.3">
      <c r="A13" s="12" t="str">
        <v>Sector 2</v>
      </c>
      <c r="B13" s="12">
        <v>0.04</v>
      </c>
      <c r="C13" s="12">
        <v>0</v>
      </c>
      <c r="D13" s="12">
        <v>-0.04</v>
      </c>
      <c r="E13" s="12">
        <v>0.06</v>
      </c>
      <c r="F13" s="26">
        <v>5.088164151366608E-2</v>
      </c>
    </row>
    <row r="14" spans="1:9" x14ac:dyDescent="0.3">
      <c r="A14" s="12" t="str">
        <v>Sector 3</v>
      </c>
      <c r="B14" s="12">
        <v>0.14000000000000001</v>
      </c>
      <c r="C14" s="12">
        <v>0</v>
      </c>
      <c r="D14" s="12">
        <v>-0.1</v>
      </c>
      <c r="E14" s="12">
        <v>0</v>
      </c>
      <c r="F14" s="26">
        <v>1.8076258726118594E-2</v>
      </c>
    </row>
    <row r="15" spans="1:9" ht="15" thickBot="1" x14ac:dyDescent="0.35">
      <c r="A15" s="15" t="s">
        <v>14</v>
      </c>
      <c r="B15" s="15" cm="1">
        <f t="array" ref="B15:E15">_xlfn.BYCOL(B12:E14,_xleta.SUM)</f>
        <v>0.18000000000000002</v>
      </c>
      <c r="C15" s="15">
        <v>0.03</v>
      </c>
      <c r="D15" s="15">
        <v>-0.2</v>
      </c>
      <c r="E15" s="15">
        <v>0.14000000000000001</v>
      </c>
      <c r="F15" s="27">
        <f>FVSCHEDULE(1,_xlfn.ANCHORARRAY(B15))-1</f>
        <v>0.10844480000000023</v>
      </c>
    </row>
    <row r="17" spans="1:6" x14ac:dyDescent="0.3">
      <c r="A17" s="13" t="s">
        <v>22</v>
      </c>
    </row>
    <row r="18" spans="1:6" s="16" customFormat="1" ht="15" thickBot="1" x14ac:dyDescent="0.35">
      <c r="A18" s="19"/>
      <c r="B18" s="20" t="str" cm="1">
        <f t="array" ref="B18:F18">B4:F4</f>
        <v>Q1</v>
      </c>
      <c r="C18" s="20" t="str">
        <v>Q2</v>
      </c>
      <c r="D18" s="20" t="str">
        <v>Q3</v>
      </c>
      <c r="E18" s="20" t="str">
        <v>Q4</v>
      </c>
      <c r="F18" s="28" t="str">
        <v>YTD</v>
      </c>
    </row>
    <row r="19" spans="1:6" x14ac:dyDescent="0.3">
      <c r="A19" s="12" t="str" cm="1">
        <f t="array" ref="A19:A21">A5:A7</f>
        <v>Sector 1</v>
      </c>
      <c r="B19" s="12" cm="1">
        <f t="array" ref="B19:E21">B5:E7-B12:E14</f>
        <v>-0.06</v>
      </c>
      <c r="C19" s="12">
        <v>1.0000000000000002E-2</v>
      </c>
      <c r="D19" s="12">
        <v>0.1</v>
      </c>
      <c r="E19" s="12">
        <v>-0.04</v>
      </c>
      <c r="F19" s="26"/>
    </row>
    <row r="20" spans="1:6" x14ac:dyDescent="0.3">
      <c r="A20" s="12" t="str">
        <v>Sector 2</v>
      </c>
      <c r="B20" s="12">
        <v>-0.02</v>
      </c>
      <c r="C20" s="12">
        <v>-0.12</v>
      </c>
      <c r="D20" s="12">
        <v>0.02</v>
      </c>
      <c r="E20" s="12">
        <v>0</v>
      </c>
      <c r="F20" s="26"/>
    </row>
    <row r="21" spans="1:6" x14ac:dyDescent="0.3">
      <c r="A21" s="12" t="str">
        <v>Sector 3</v>
      </c>
      <c r="B21" s="12">
        <v>-0.26</v>
      </c>
      <c r="C21" s="12">
        <v>0.04</v>
      </c>
      <c r="D21" s="12">
        <v>0.31</v>
      </c>
      <c r="E21" s="12">
        <v>0.06</v>
      </c>
      <c r="F21" s="26"/>
    </row>
    <row r="22" spans="1:6" ht="15" thickBot="1" x14ac:dyDescent="0.35">
      <c r="A22" s="15" t="s">
        <v>14</v>
      </c>
      <c r="B22" s="15" cm="1">
        <f t="array" ref="B22:E22">_xlfn.BYCOL(B19:E21,_xleta.SUM)</f>
        <v>-0.34</v>
      </c>
      <c r="C22" s="15">
        <v>-6.9999999999999979E-2</v>
      </c>
      <c r="D22" s="15">
        <v>0.43</v>
      </c>
      <c r="E22" s="15">
        <v>1.9999999999999997E-2</v>
      </c>
      <c r="F22" s="22">
        <f>F8-F15</f>
        <v>4.2126719999999729E-2</v>
      </c>
    </row>
    <row r="24" spans="1:6" x14ac:dyDescent="0.3">
      <c r="A24" s="13" t="s">
        <v>21</v>
      </c>
    </row>
    <row r="25" spans="1:6" x14ac:dyDescent="0.3">
      <c r="A25" s="16"/>
      <c r="B25" s="16" cm="1">
        <f t="array" ref="B25:F25">Carino(B8:F8,B15:F15)</f>
        <v>0.99961125183044408</v>
      </c>
      <c r="C25" s="16">
        <v>1.0054399537399945</v>
      </c>
      <c r="D25" s="16">
        <v>1.0003667923221764</v>
      </c>
      <c r="E25" s="16">
        <v>0.86958713559345158</v>
      </c>
      <c r="F25" s="29">
        <v>0.88544375223740135</v>
      </c>
    </row>
    <row r="27" spans="1:6" x14ac:dyDescent="0.3">
      <c r="A27" s="13" t="s">
        <v>23</v>
      </c>
    </row>
    <row r="28" spans="1:6" ht="15" thickBot="1" x14ac:dyDescent="0.35">
      <c r="A28" s="19"/>
      <c r="B28" s="20" t="str" cm="1">
        <f t="array" ref="B28:F28">B4:F4</f>
        <v>Q1</v>
      </c>
      <c r="C28" s="20" t="str">
        <v>Q2</v>
      </c>
      <c r="D28" s="20" t="str">
        <v>Q3</v>
      </c>
      <c r="E28" s="20" t="str">
        <v>Q4</v>
      </c>
      <c r="F28" s="28" t="str">
        <v>YTD</v>
      </c>
    </row>
    <row r="29" spans="1:6" x14ac:dyDescent="0.3">
      <c r="A29" s="12" t="str" cm="1">
        <f t="array" ref="A29:A31">A5:A7</f>
        <v>Sector 1</v>
      </c>
      <c r="B29" s="17" cm="1">
        <f t="array" ref="B29:E31">_xlfn.ANCHORARRAY(B19)*B25:E25/F25</f>
        <v>-6.7736290372226782E-2</v>
      </c>
      <c r="C29" s="17">
        <v>1.1355209760070909E-2</v>
      </c>
      <c r="D29" s="17">
        <v>0.11297914630877225</v>
      </c>
      <c r="E29" s="17">
        <v>-3.9283675937454764E-2</v>
      </c>
      <c r="F29" s="26" cm="1">
        <f t="array" ref="F29:F31">_xlfn.BYROW(B29:E31,_xleta.SUM)</f>
        <v>1.7314389759161608E-2</v>
      </c>
    </row>
    <row r="30" spans="1:6" x14ac:dyDescent="0.3">
      <c r="A30" s="12" t="str">
        <v>Sector 2</v>
      </c>
      <c r="B30" s="17">
        <v>-2.2578763457408928E-2</v>
      </c>
      <c r="C30" s="17">
        <v>-0.13626251712085088</v>
      </c>
      <c r="D30" s="17">
        <v>2.2595829261754446E-2</v>
      </c>
      <c r="E30" s="17">
        <v>0</v>
      </c>
      <c r="F30" s="26">
        <v>-0.13624545131650537</v>
      </c>
    </row>
    <row r="31" spans="1:6" x14ac:dyDescent="0.3">
      <c r="A31" s="12" t="str">
        <v>Sector 3</v>
      </c>
      <c r="B31" s="17">
        <v>-0.29352392494631607</v>
      </c>
      <c r="C31" s="17">
        <v>4.5420839040283628E-2</v>
      </c>
      <c r="D31" s="17">
        <v>0.35023535355719393</v>
      </c>
      <c r="E31" s="17">
        <v>5.8925513906182149E-2</v>
      </c>
      <c r="F31" s="26">
        <v>0.16105778155734363</v>
      </c>
    </row>
    <row r="32" spans="1:6" ht="15" thickBot="1" x14ac:dyDescent="0.35">
      <c r="A32" s="15" t="s">
        <v>14</v>
      </c>
      <c r="B32" s="18" cm="1">
        <f t="array" ref="B32:E32">_xlfn.BYCOL(B29:E31,_xleta.SUM)</f>
        <v>-0.3838389787759518</v>
      </c>
      <c r="C32" s="18">
        <v>-7.9486468320496342E-2</v>
      </c>
      <c r="D32" s="18">
        <v>0.4858103291277206</v>
      </c>
      <c r="E32" s="18">
        <v>1.9641837968727385E-2</v>
      </c>
      <c r="F32" s="22">
        <f>SUM(_xlfn.ANCHORARRAY(F29))</f>
        <v>4.2126719999999868E-2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554BA-6626-4F5C-9C94-82D99769631C}">
  <dimension ref="A1:G32"/>
  <sheetViews>
    <sheetView workbookViewId="0">
      <selection activeCell="F29" sqref="F29"/>
    </sheetView>
  </sheetViews>
  <sheetFormatPr defaultRowHeight="14.4" x14ac:dyDescent="0.3"/>
  <sheetData>
    <row r="1" spans="1:6" ht="18" x14ac:dyDescent="0.35">
      <c r="A1" s="14" t="s">
        <v>26</v>
      </c>
      <c r="B1" s="14"/>
      <c r="C1" s="14"/>
      <c r="D1" s="14"/>
      <c r="E1" s="14"/>
      <c r="F1" s="23"/>
    </row>
    <row r="2" spans="1:6" s="31" customFormat="1" ht="10.8" x14ac:dyDescent="0.25">
      <c r="A2" s="31" t="s">
        <v>29</v>
      </c>
    </row>
    <row r="3" spans="1:6" s="31" customFormat="1" ht="10.8" x14ac:dyDescent="0.25"/>
    <row r="4" spans="1:6" x14ac:dyDescent="0.3">
      <c r="A4" t="s">
        <v>28</v>
      </c>
      <c r="B4" s="7">
        <v>0.5</v>
      </c>
    </row>
    <row r="5" spans="1:6" x14ac:dyDescent="0.3">
      <c r="A5" t="s">
        <v>27</v>
      </c>
      <c r="B5" s="5">
        <f>1-B4</f>
        <v>0.5</v>
      </c>
    </row>
    <row r="7" spans="1:6" x14ac:dyDescent="0.3">
      <c r="A7" s="13" t="s">
        <v>9</v>
      </c>
      <c r="B7" s="12"/>
      <c r="C7" s="12"/>
      <c r="D7" s="12"/>
      <c r="E7" s="12"/>
      <c r="F7" s="24"/>
    </row>
    <row r="8" spans="1:6" ht="15" thickBot="1" x14ac:dyDescent="0.35">
      <c r="A8" s="19"/>
      <c r="B8" s="20" t="s">
        <v>15</v>
      </c>
      <c r="C8" s="20" t="s">
        <v>16</v>
      </c>
      <c r="D8" s="20" t="s">
        <v>17</v>
      </c>
      <c r="E8" s="20" t="s">
        <v>18</v>
      </c>
      <c r="F8" s="25" t="s">
        <v>20</v>
      </c>
    </row>
    <row r="9" spans="1:6" x14ac:dyDescent="0.3">
      <c r="A9" s="12" t="s">
        <v>27</v>
      </c>
      <c r="B9" s="12">
        <v>0.1</v>
      </c>
      <c r="C9" s="12">
        <v>0.08</v>
      </c>
      <c r="D9" s="12">
        <v>0.05</v>
      </c>
      <c r="E9" s="12">
        <v>0.1</v>
      </c>
      <c r="F9" s="26" cm="1">
        <f t="array" ref="F9:F10">MMULT(B9:E10,TRANSPOSE(Carino(_xlfn.ANCHORARRAY(B11),)))/Carino(F11,)</f>
        <v>0.4302090823670669</v>
      </c>
    </row>
    <row r="10" spans="1:6" x14ac:dyDescent="0.3">
      <c r="A10" s="12" t="s">
        <v>28</v>
      </c>
      <c r="B10" s="12">
        <v>0.11</v>
      </c>
      <c r="C10" s="12">
        <v>0.06</v>
      </c>
      <c r="D10" s="12">
        <v>0.15</v>
      </c>
      <c r="E10" s="12">
        <v>7.0000000000000007E-2</v>
      </c>
      <c r="F10" s="26">
        <v>0.5064685176329331</v>
      </c>
    </row>
    <row r="11" spans="1:6" ht="15" thickBot="1" x14ac:dyDescent="0.35">
      <c r="A11" s="15" t="s">
        <v>14</v>
      </c>
      <c r="B11" s="15" cm="1">
        <f t="array" ref="B11:E11">_xlfn.BYCOL(B9:E10,_xleta.SUM)</f>
        <v>0.21000000000000002</v>
      </c>
      <c r="C11" s="15">
        <v>0.14000000000000001</v>
      </c>
      <c r="D11" s="15">
        <v>0.2</v>
      </c>
      <c r="E11" s="15">
        <v>0.17</v>
      </c>
      <c r="F11" s="27">
        <f>FVSCHEDULE(1,_xlfn.ANCHORARRAY(B11))-1</f>
        <v>0.93667759999999989</v>
      </c>
    </row>
    <row r="12" spans="1:6" x14ac:dyDescent="0.3">
      <c r="A12" s="12"/>
      <c r="B12" s="12"/>
      <c r="C12" s="12"/>
      <c r="D12" s="12"/>
      <c r="E12" s="12"/>
      <c r="F12" s="26"/>
    </row>
    <row r="13" spans="1:6" x14ac:dyDescent="0.3">
      <c r="A13" s="13" t="s">
        <v>10</v>
      </c>
      <c r="B13" s="12"/>
      <c r="C13" s="12"/>
      <c r="D13" s="12"/>
      <c r="E13" s="12"/>
      <c r="F13" s="26"/>
    </row>
    <row r="14" spans="1:6" ht="15" thickBot="1" x14ac:dyDescent="0.35">
      <c r="A14" s="19"/>
      <c r="B14" s="20" t="str" cm="1">
        <f t="array" ref="B14:F14">B8:F8</f>
        <v>Q1</v>
      </c>
      <c r="C14" s="20" t="str">
        <v>Q2</v>
      </c>
      <c r="D14" s="20" t="str">
        <v>Q3</v>
      </c>
      <c r="E14" s="20" t="str">
        <v>Q4</v>
      </c>
      <c r="F14" s="28" t="str">
        <v>YTD</v>
      </c>
    </row>
    <row r="15" spans="1:6" x14ac:dyDescent="0.3">
      <c r="A15" s="12" t="str" cm="1">
        <f t="array" ref="A15:A16">A9:A10</f>
        <v>Allocation</v>
      </c>
      <c r="B15" s="12">
        <v>0.04</v>
      </c>
      <c r="C15" s="12">
        <v>0.06</v>
      </c>
      <c r="D15" s="12">
        <v>0.04</v>
      </c>
      <c r="E15" s="12">
        <v>0.05</v>
      </c>
      <c r="F15" s="26" cm="1">
        <f t="array" ref="F15:F16">MMULT(B15:E16,TRANSPOSE(Carino(_xlfn.ANCHORARRAY(B17),)))/Carino(F17,)</f>
        <v>0.22224676967894347</v>
      </c>
    </row>
    <row r="16" spans="1:6" x14ac:dyDescent="0.3">
      <c r="A16" s="12" t="str">
        <v>Selection</v>
      </c>
      <c r="B16" s="12">
        <v>7.0000000000000007E-2</v>
      </c>
      <c r="C16" s="12">
        <v>0.03</v>
      </c>
      <c r="D16" s="12">
        <v>0.08</v>
      </c>
      <c r="E16" s="12">
        <v>0.05</v>
      </c>
      <c r="F16" s="26">
        <v>0.26835003032105698</v>
      </c>
    </row>
    <row r="17" spans="1:7" ht="15" thickBot="1" x14ac:dyDescent="0.35">
      <c r="A17" s="15" t="s">
        <v>14</v>
      </c>
      <c r="B17" s="15" cm="1">
        <f t="array" ref="B17:E17">_xlfn.BYCOL(B15:E16,_xleta.SUM)</f>
        <v>0.11000000000000001</v>
      </c>
      <c r="C17" s="15">
        <v>0.09</v>
      </c>
      <c r="D17" s="15">
        <v>0.12</v>
      </c>
      <c r="E17" s="15">
        <v>0.1</v>
      </c>
      <c r="F17" s="27">
        <f>FVSCHEDULE(1,_xlfn.ANCHORARRAY(B17))-1</f>
        <v>0.4905968000000005</v>
      </c>
    </row>
    <row r="18" spans="1:7" x14ac:dyDescent="0.3">
      <c r="A18" s="12"/>
      <c r="B18" s="12"/>
      <c r="C18" s="12"/>
      <c r="D18" s="12"/>
      <c r="E18" s="12"/>
      <c r="F18" s="24"/>
    </row>
    <row r="19" spans="1:7" x14ac:dyDescent="0.3">
      <c r="A19" s="13" t="s">
        <v>22</v>
      </c>
      <c r="B19" s="12"/>
      <c r="C19" s="12"/>
      <c r="D19" s="12"/>
      <c r="E19" s="12"/>
      <c r="F19" s="24"/>
    </row>
    <row r="20" spans="1:7" ht="15" thickBot="1" x14ac:dyDescent="0.35">
      <c r="A20" s="19"/>
      <c r="B20" s="20" t="str" cm="1">
        <f t="array" ref="B20:F20">B8:F8</f>
        <v>Q1</v>
      </c>
      <c r="C20" s="20" t="str">
        <v>Q2</v>
      </c>
      <c r="D20" s="20" t="str">
        <v>Q3</v>
      </c>
      <c r="E20" s="20" t="str">
        <v>Q4</v>
      </c>
      <c r="F20" s="28" t="str">
        <v>YTD</v>
      </c>
    </row>
    <row r="21" spans="1:7" x14ac:dyDescent="0.3">
      <c r="A21" s="12" t="str" cm="1">
        <f t="array" ref="A21:A22">A9:A10</f>
        <v>Allocation</v>
      </c>
      <c r="B21" s="12" cm="1">
        <f t="array" ref="B21:E22">B9:E10-B15:E16</f>
        <v>6.0000000000000005E-2</v>
      </c>
      <c r="C21" s="12">
        <v>2.0000000000000004E-2</v>
      </c>
      <c r="D21" s="12">
        <v>1.0000000000000002E-2</v>
      </c>
      <c r="E21" s="12">
        <v>0.05</v>
      </c>
      <c r="F21" s="26"/>
    </row>
    <row r="22" spans="1:7" x14ac:dyDescent="0.3">
      <c r="A22" s="12" t="str">
        <v>Selection</v>
      </c>
      <c r="B22" s="12">
        <v>3.9999999999999994E-2</v>
      </c>
      <c r="C22" s="12">
        <v>0.03</v>
      </c>
      <c r="D22" s="12">
        <v>6.9999999999999993E-2</v>
      </c>
      <c r="E22" s="12">
        <v>2.0000000000000004E-2</v>
      </c>
      <c r="F22" s="26"/>
    </row>
    <row r="23" spans="1:7" ht="15" thickBot="1" x14ac:dyDescent="0.35">
      <c r="A23" s="15" t="s">
        <v>14</v>
      </c>
      <c r="B23" s="15" cm="1">
        <f t="array" ref="B23:E23">_xlfn.BYCOL(B21:E22,_xleta.SUM)</f>
        <v>0.1</v>
      </c>
      <c r="C23" s="15">
        <v>0.05</v>
      </c>
      <c r="D23" s="15">
        <v>7.9999999999999988E-2</v>
      </c>
      <c r="E23" s="15">
        <v>7.0000000000000007E-2</v>
      </c>
      <c r="F23" s="22">
        <f>F11-F17</f>
        <v>0.44608079999999939</v>
      </c>
    </row>
    <row r="25" spans="1:7" x14ac:dyDescent="0.3">
      <c r="A25" s="13" t="s">
        <v>23</v>
      </c>
      <c r="B25" s="12"/>
      <c r="C25" s="12"/>
      <c r="D25" s="12"/>
      <c r="E25" s="12"/>
      <c r="F25" s="24"/>
    </row>
    <row r="26" spans="1:7" ht="15" thickBot="1" x14ac:dyDescent="0.35">
      <c r="A26" s="19"/>
      <c r="B26" s="20" t="str" cm="1">
        <f t="array" ref="B26:F26">B8:F8</f>
        <v>Q1</v>
      </c>
      <c r="C26" s="20" t="str">
        <v>Q2</v>
      </c>
      <c r="D26" s="20" t="str">
        <v>Q3</v>
      </c>
      <c r="E26" s="20" t="str">
        <v>Q4</v>
      </c>
      <c r="F26" s="28" t="str">
        <v>YTD</v>
      </c>
    </row>
    <row r="27" spans="1:7" x14ac:dyDescent="0.3">
      <c r="A27" s="12" t="str" cm="1">
        <f t="array" ref="A27:A28">A9:A10</f>
        <v>Allocation</v>
      </c>
      <c r="B27" s="17" cm="1">
        <f t="array" ref="B27:B28">B21:B22</f>
        <v>6.0000000000000005E-2</v>
      </c>
      <c r="C27" s="17" cm="1">
        <f t="array" ref="C27:C28">C21:C22*($B$4*FVSCHEDULE(1,$B11:B11)+$B$5*FVSCHEDULE(1,$B17:B17))+($B$4*C17+$B$5*C11)*_xlfn.BYROW($B27:B28,_xleta.SUM)</f>
        <v>3.0100000000000009E-2</v>
      </c>
      <c r="D27" s="17" cm="1">
        <f t="array" ref="D27:D28">D21:D22*($B$4*FVSCHEDULE(1,$B11:C11)+$B$5*FVSCHEDULE(1,$B17:C17))+($B$4*D17+$B$5*D11)*_xlfn.BYROW($B27:C28,_xleta.SUM)</f>
        <v>2.7362500000000005E-2</v>
      </c>
      <c r="E27" s="17" cm="1">
        <f t="array" ref="E27:E28">E21:E22*($B$4*FVSCHEDULE(1,$B11:D11)+$B$5*FVSCHEDULE(1,$B17:D17))+($B$4*E17+$B$5*E11)*_xlfn.BYROW($B27:D28,_xleta.SUM)</f>
        <v>9.1116637500000028E-2</v>
      </c>
      <c r="F27" s="26" cm="1">
        <f t="array" ref="F27:F28">_xlfn.BYROW(B27:E28,_xleta.SUM)</f>
        <v>0.20857913750000007</v>
      </c>
    </row>
    <row r="28" spans="1:7" x14ac:dyDescent="0.3">
      <c r="A28" s="12" t="str">
        <v>Selection</v>
      </c>
      <c r="B28" s="17">
        <v>3.9999999999999994E-2</v>
      </c>
      <c r="C28" s="17">
        <v>3.9400000000000004E-2</v>
      </c>
      <c r="D28" s="17">
        <v>0.10332950000000002</v>
      </c>
      <c r="E28" s="17">
        <v>5.4772162500000013E-2</v>
      </c>
      <c r="F28" s="26">
        <v>0.23750166250000004</v>
      </c>
    </row>
    <row r="29" spans="1:7" ht="15" thickBot="1" x14ac:dyDescent="0.35">
      <c r="A29" s="15" t="s">
        <v>14</v>
      </c>
      <c r="B29" s="18" cm="1">
        <f t="array" ref="B29:E29">_xlfn.BYCOL(B27:E28,_xleta.SUM)</f>
        <v>0.1</v>
      </c>
      <c r="C29" s="18">
        <v>6.9500000000000006E-2</v>
      </c>
      <c r="D29" s="18">
        <v>0.13069200000000003</v>
      </c>
      <c r="E29" s="18">
        <v>0.14588880000000004</v>
      </c>
      <c r="F29" s="22">
        <f>SUM(_xlfn.ANCHORARRAY(F27))</f>
        <v>0.44608080000000011</v>
      </c>
      <c r="G29" s="30"/>
    </row>
    <row r="31" spans="1:7" x14ac:dyDescent="0.3">
      <c r="A31" s="4" t="s">
        <v>24</v>
      </c>
    </row>
    <row r="32" spans="1:7" x14ac:dyDescent="0.3">
      <c r="A32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C513A-782F-4A08-AA7B-0B438A2F25CF}">
  <dimension ref="A1:DQ60"/>
  <sheetViews>
    <sheetView tabSelected="1" workbookViewId="0">
      <selection activeCell="A31" sqref="A31"/>
    </sheetView>
  </sheetViews>
  <sheetFormatPr defaultRowHeight="14.4" x14ac:dyDescent="0.3"/>
  <cols>
    <col min="1" max="1" width="20.77734375" style="34" bestFit="1" customWidth="1"/>
    <col min="2" max="16384" width="8.88671875" style="34"/>
  </cols>
  <sheetData>
    <row r="1" spans="1:3" customFormat="1" ht="18" x14ac:dyDescent="0.35">
      <c r="A1" s="40" t="s">
        <v>41</v>
      </c>
      <c r="B1" s="40"/>
    </row>
    <row r="2" spans="1:3" customFormat="1" x14ac:dyDescent="0.3"/>
    <row r="3" spans="1:3" customFormat="1" x14ac:dyDescent="0.3">
      <c r="A3" t="s">
        <v>30</v>
      </c>
      <c r="B3" s="32">
        <v>10</v>
      </c>
      <c r="C3" s="38"/>
    </row>
    <row r="4" spans="1:3" customFormat="1" x14ac:dyDescent="0.3">
      <c r="A4" t="s">
        <v>31</v>
      </c>
      <c r="B4" s="32">
        <v>5</v>
      </c>
      <c r="C4" s="39" t="s">
        <v>42</v>
      </c>
    </row>
    <row r="5" spans="1:3" customFormat="1" x14ac:dyDescent="0.3">
      <c r="A5" t="s">
        <v>40</v>
      </c>
      <c r="B5" s="32">
        <v>12</v>
      </c>
      <c r="C5" s="38"/>
    </row>
    <row r="6" spans="1:3" customFormat="1" x14ac:dyDescent="0.3">
      <c r="A6" t="s">
        <v>34</v>
      </c>
      <c r="B6" s="32">
        <v>0.5</v>
      </c>
      <c r="C6" s="38" t="s">
        <v>32</v>
      </c>
    </row>
    <row r="7" spans="1:3" customFormat="1" x14ac:dyDescent="0.3">
      <c r="A7" t="s">
        <v>35</v>
      </c>
      <c r="B7" s="33">
        <v>0.05</v>
      </c>
      <c r="C7" s="38" t="s">
        <v>33</v>
      </c>
    </row>
    <row r="8" spans="1:3" customFormat="1" x14ac:dyDescent="0.3">
      <c r="A8" t="s">
        <v>36</v>
      </c>
      <c r="B8" s="33">
        <v>0.01</v>
      </c>
      <c r="C8" s="38" t="s">
        <v>37</v>
      </c>
    </row>
    <row r="9" spans="1:3" customFormat="1" x14ac:dyDescent="0.3">
      <c r="A9" t="s">
        <v>39</v>
      </c>
      <c r="B9" s="33">
        <v>0.02</v>
      </c>
      <c r="C9" s="38" t="s">
        <v>38</v>
      </c>
    </row>
    <row r="10" spans="1:3" customFormat="1" x14ac:dyDescent="0.3"/>
    <row r="11" spans="1:3" customFormat="1" x14ac:dyDescent="0.3"/>
    <row r="12" spans="1:3" customFormat="1" x14ac:dyDescent="0.3"/>
    <row r="13" spans="1:3" customFormat="1" x14ac:dyDescent="0.3"/>
    <row r="14" spans="1:3" customFormat="1" x14ac:dyDescent="0.3"/>
    <row r="15" spans="1:3" customFormat="1" x14ac:dyDescent="0.3"/>
    <row r="16" spans="1:3" customFormat="1" x14ac:dyDescent="0.3"/>
    <row r="17" spans="1:121" customFormat="1" x14ac:dyDescent="0.3"/>
    <row r="18" spans="1:121" customFormat="1" x14ac:dyDescent="0.3"/>
    <row r="19" spans="1:121" customFormat="1" x14ac:dyDescent="0.3"/>
    <row r="20" spans="1:121" customFormat="1" x14ac:dyDescent="0.3"/>
    <row r="21" spans="1:121" customFormat="1" x14ac:dyDescent="0.3"/>
    <row r="22" spans="1:121" customFormat="1" x14ac:dyDescent="0.3"/>
    <row r="23" spans="1:121" customFormat="1" x14ac:dyDescent="0.3"/>
    <row r="24" spans="1:121" customFormat="1" x14ac:dyDescent="0.3"/>
    <row r="25" spans="1:121" customFormat="1" x14ac:dyDescent="0.3"/>
    <row r="26" spans="1:121" customFormat="1" x14ac:dyDescent="0.3"/>
    <row r="27" spans="1:121" customFormat="1" x14ac:dyDescent="0.3"/>
    <row r="28" spans="1:121" customFormat="1" x14ac:dyDescent="0.3"/>
    <row r="29" spans="1:121" customFormat="1" x14ac:dyDescent="0.3"/>
    <row r="30" spans="1:121" s="35" customFormat="1" x14ac:dyDescent="0.3">
      <c r="A30" s="35" cm="1">
        <f t="array" ref="A30:DQ30">_xlfn.MAKEARRAY(1,B3*B5+1,_xlfn.LAMBDA(_xlpm._,_xlpm.c,IF(MOD(_xlpm.c-1,B5)=0,(_xlpm.c-1)/B5,"")))</f>
        <v>0</v>
      </c>
      <c r="B30" s="35" t="str">
        <v/>
      </c>
      <c r="C30" s="35" t="str">
        <v/>
      </c>
      <c r="D30" s="35" t="str">
        <v/>
      </c>
      <c r="E30" s="35" t="str">
        <v/>
      </c>
      <c r="F30" s="35" t="str">
        <v/>
      </c>
      <c r="G30" s="35" t="str">
        <v/>
      </c>
      <c r="H30" s="35" t="str">
        <v/>
      </c>
      <c r="I30" s="35" t="str">
        <v/>
      </c>
      <c r="J30" s="35" t="str">
        <v/>
      </c>
      <c r="K30" s="35" t="str">
        <v/>
      </c>
      <c r="L30" s="35" t="str">
        <v/>
      </c>
      <c r="M30" s="35">
        <v>1</v>
      </c>
      <c r="N30" s="35" t="str">
        <v/>
      </c>
      <c r="O30" s="35" t="str">
        <v/>
      </c>
      <c r="P30" s="35" t="str">
        <v/>
      </c>
      <c r="Q30" s="35" t="str">
        <v/>
      </c>
      <c r="R30" s="35" t="str">
        <v/>
      </c>
      <c r="S30" s="35" t="str">
        <v/>
      </c>
      <c r="T30" s="35" t="str">
        <v/>
      </c>
      <c r="U30" s="35" t="str">
        <v/>
      </c>
      <c r="V30" s="35" t="str">
        <v/>
      </c>
      <c r="W30" s="35" t="str">
        <v/>
      </c>
      <c r="X30" s="35" t="str">
        <v/>
      </c>
      <c r="Y30" s="35">
        <v>2</v>
      </c>
      <c r="Z30" s="35" t="str">
        <v/>
      </c>
      <c r="AA30" s="35" t="str">
        <v/>
      </c>
      <c r="AB30" s="35" t="str">
        <v/>
      </c>
      <c r="AC30" s="35" t="str">
        <v/>
      </c>
      <c r="AD30" s="35" t="str">
        <v/>
      </c>
      <c r="AE30" s="35" t="str">
        <v/>
      </c>
      <c r="AF30" s="35" t="str">
        <v/>
      </c>
      <c r="AG30" s="35" t="str">
        <v/>
      </c>
      <c r="AH30" s="35" t="str">
        <v/>
      </c>
      <c r="AI30" s="35" t="str">
        <v/>
      </c>
      <c r="AJ30" s="35" t="str">
        <v/>
      </c>
      <c r="AK30" s="35">
        <v>3</v>
      </c>
      <c r="AL30" s="35" t="str">
        <v/>
      </c>
      <c r="AM30" s="35" t="str">
        <v/>
      </c>
      <c r="AN30" s="35" t="str">
        <v/>
      </c>
      <c r="AO30" s="35" t="str">
        <v/>
      </c>
      <c r="AP30" s="35" t="str">
        <v/>
      </c>
      <c r="AQ30" s="35" t="str">
        <v/>
      </c>
      <c r="AR30" s="35" t="str">
        <v/>
      </c>
      <c r="AS30" s="35" t="str">
        <v/>
      </c>
      <c r="AT30" s="35" t="str">
        <v/>
      </c>
      <c r="AU30" s="35" t="str">
        <v/>
      </c>
      <c r="AV30" s="35" t="str">
        <v/>
      </c>
      <c r="AW30" s="35">
        <v>4</v>
      </c>
      <c r="AX30" s="35" t="str">
        <v/>
      </c>
      <c r="AY30" s="35" t="str">
        <v/>
      </c>
      <c r="AZ30" s="35" t="str">
        <v/>
      </c>
      <c r="BA30" s="35" t="str">
        <v/>
      </c>
      <c r="BB30" s="35" t="str">
        <v/>
      </c>
      <c r="BC30" s="35" t="str">
        <v/>
      </c>
      <c r="BD30" s="35" t="str">
        <v/>
      </c>
      <c r="BE30" s="35" t="str">
        <v/>
      </c>
      <c r="BF30" s="35" t="str">
        <v/>
      </c>
      <c r="BG30" s="35" t="str">
        <v/>
      </c>
      <c r="BH30" s="35" t="str">
        <v/>
      </c>
      <c r="BI30" s="35">
        <v>5</v>
      </c>
      <c r="BJ30" s="35" t="str">
        <v/>
      </c>
      <c r="BK30" s="35" t="str">
        <v/>
      </c>
      <c r="BL30" s="35" t="str">
        <v/>
      </c>
      <c r="BM30" s="35" t="str">
        <v/>
      </c>
      <c r="BN30" s="35" t="str">
        <v/>
      </c>
      <c r="BO30" s="35" t="str">
        <v/>
      </c>
      <c r="BP30" s="35" t="str">
        <v/>
      </c>
      <c r="BQ30" s="35" t="str">
        <v/>
      </c>
      <c r="BR30" s="35" t="str">
        <v/>
      </c>
      <c r="BS30" s="35" t="str">
        <v/>
      </c>
      <c r="BT30" s="35" t="str">
        <v/>
      </c>
      <c r="BU30" s="35">
        <v>6</v>
      </c>
      <c r="BV30" s="35" t="str">
        <v/>
      </c>
      <c r="BW30" s="35" t="str">
        <v/>
      </c>
      <c r="BX30" s="35" t="str">
        <v/>
      </c>
      <c r="BY30" s="35" t="str">
        <v/>
      </c>
      <c r="BZ30" s="35" t="str">
        <v/>
      </c>
      <c r="CA30" s="35" t="str">
        <v/>
      </c>
      <c r="CB30" s="35" t="str">
        <v/>
      </c>
      <c r="CC30" s="35" t="str">
        <v/>
      </c>
      <c r="CD30" s="35" t="str">
        <v/>
      </c>
      <c r="CE30" s="35" t="str">
        <v/>
      </c>
      <c r="CF30" s="35" t="str">
        <v/>
      </c>
      <c r="CG30" s="35">
        <v>7</v>
      </c>
      <c r="CH30" s="35" t="str">
        <v/>
      </c>
      <c r="CI30" s="35" t="str">
        <v/>
      </c>
      <c r="CJ30" s="35" t="str">
        <v/>
      </c>
      <c r="CK30" s="35" t="str">
        <v/>
      </c>
      <c r="CL30" s="35" t="str">
        <v/>
      </c>
      <c r="CM30" s="35" t="str">
        <v/>
      </c>
      <c r="CN30" s="35" t="str">
        <v/>
      </c>
      <c r="CO30" s="35" t="str">
        <v/>
      </c>
      <c r="CP30" s="35" t="str">
        <v/>
      </c>
      <c r="CQ30" s="35" t="str">
        <v/>
      </c>
      <c r="CR30" s="35" t="str">
        <v/>
      </c>
      <c r="CS30" s="35">
        <v>8</v>
      </c>
      <c r="CT30" s="35" t="str">
        <v/>
      </c>
      <c r="CU30" s="35" t="str">
        <v/>
      </c>
      <c r="CV30" s="35" t="str">
        <v/>
      </c>
      <c r="CW30" s="35" t="str">
        <v/>
      </c>
      <c r="CX30" s="35" t="str">
        <v/>
      </c>
      <c r="CY30" s="35" t="str">
        <v/>
      </c>
      <c r="CZ30" s="35" t="str">
        <v/>
      </c>
      <c r="DA30" s="35" t="str">
        <v/>
      </c>
      <c r="DB30" s="35" t="str">
        <v/>
      </c>
      <c r="DC30" s="35" t="str">
        <v/>
      </c>
      <c r="DD30" s="35" t="str">
        <v/>
      </c>
      <c r="DE30" s="35">
        <v>9</v>
      </c>
      <c r="DF30" s="35" t="str">
        <v/>
      </c>
      <c r="DG30" s="35" t="str">
        <v/>
      </c>
      <c r="DH30" s="35" t="str">
        <v/>
      </c>
      <c r="DI30" s="35" t="str">
        <v/>
      </c>
      <c r="DJ30" s="35" t="str">
        <v/>
      </c>
      <c r="DK30" s="35" t="str">
        <v/>
      </c>
      <c r="DL30" s="35" t="str">
        <v/>
      </c>
      <c r="DM30" s="35" t="str">
        <v/>
      </c>
      <c r="DN30" s="35" t="str">
        <v/>
      </c>
      <c r="DO30" s="35" t="str">
        <v/>
      </c>
      <c r="DP30" s="35" t="str">
        <v/>
      </c>
      <c r="DQ30" s="35">
        <v>10</v>
      </c>
    </row>
    <row r="31" spans="1:121" s="36" customFormat="1" x14ac:dyDescent="0.3">
      <c r="A31" s="36" cm="1">
        <f t="array" aca="1" ref="A31:DQ35" ca="1">_xlfn.SCAN(0, _xlfn.HSTACK(_xlfn.MAKEARRAY(B4,1,_xlfn.LAMBDA(_xlpm.x,_xlpm.y,FALSE)), _xlfn.NORM.S.INV(_xlfn.RANDARRAY(B4,B3*B5))), _xlfn.LAMBDA(_xlpm.r,_xlpm.p,IF(NOT(_xlpm.p),LN(1+B9),_xlpm.r+B6*(B7-_xlpm.r)/B5+_xlfn.NORM.S.INV(RAND())*B8*SQRT(_xlpm.r/B5))))</f>
        <v>1.980262729617973E-2</v>
      </c>
      <c r="B31" s="36">
        <f ca="1"/>
        <v>2.034719985744356E-2</v>
      </c>
      <c r="C31" s="36">
        <f ca="1"/>
        <v>2.1842598554128078E-2</v>
      </c>
      <c r="D31" s="36">
        <f ca="1"/>
        <v>2.302876370375816E-2</v>
      </c>
      <c r="E31" s="36">
        <f ca="1"/>
        <v>2.4540964448746296E-2</v>
      </c>
      <c r="F31" s="36">
        <f ca="1"/>
        <v>2.5491750368810739E-2</v>
      </c>
      <c r="G31" s="36">
        <f ca="1"/>
        <v>2.6546460115478034E-2</v>
      </c>
      <c r="H31" s="36">
        <f ca="1"/>
        <v>2.806023667366634E-2</v>
      </c>
      <c r="I31" s="36">
        <f ca="1"/>
        <v>2.8649973598282943E-2</v>
      </c>
      <c r="J31" s="36">
        <f ca="1"/>
        <v>2.9107477390372619E-2</v>
      </c>
      <c r="K31" s="36">
        <f ca="1"/>
        <v>2.9880080799543088E-2</v>
      </c>
      <c r="L31" s="36">
        <f ca="1"/>
        <v>3.060701156136298E-2</v>
      </c>
      <c r="M31" s="36">
        <f ca="1"/>
        <v>3.1586310355851903E-2</v>
      </c>
      <c r="N31" s="36">
        <f ca="1"/>
        <v>3.3187909092207105E-2</v>
      </c>
      <c r="O31" s="36">
        <f ca="1"/>
        <v>3.4464661088423131E-2</v>
      </c>
      <c r="P31" s="36">
        <f ca="1"/>
        <v>3.4198932761214496E-2</v>
      </c>
      <c r="Q31" s="36">
        <f ca="1"/>
        <v>3.4646236223687621E-2</v>
      </c>
      <c r="R31" s="36">
        <f ca="1"/>
        <v>3.4912556165936436E-2</v>
      </c>
      <c r="S31" s="36">
        <f ca="1"/>
        <v>3.5356901811429475E-2</v>
      </c>
      <c r="T31" s="36">
        <f ca="1"/>
        <v>3.5931342864695605E-2</v>
      </c>
      <c r="U31" s="36">
        <f ca="1"/>
        <v>3.5835215503952619E-2</v>
      </c>
      <c r="V31" s="36">
        <f ca="1"/>
        <v>3.6426822664321248E-2</v>
      </c>
      <c r="W31" s="36">
        <f ca="1"/>
        <v>3.6236242813646617E-2</v>
      </c>
      <c r="X31" s="36">
        <f ca="1"/>
        <v>3.7813778986081785E-2</v>
      </c>
      <c r="Y31" s="36">
        <f ca="1"/>
        <v>3.7509603787549334E-2</v>
      </c>
      <c r="Z31" s="36">
        <f ca="1"/>
        <v>3.777928210219407E-2</v>
      </c>
      <c r="AA31" s="36">
        <f ca="1"/>
        <v>3.7619238633026873E-2</v>
      </c>
      <c r="AB31" s="36">
        <f ca="1"/>
        <v>3.7786049358261298E-2</v>
      </c>
      <c r="AC31" s="36">
        <f ca="1"/>
        <v>3.8089402713657586E-2</v>
      </c>
      <c r="AD31" s="36">
        <f ca="1"/>
        <v>3.8090975096673196E-2</v>
      </c>
      <c r="AE31" s="36">
        <f ca="1"/>
        <v>3.8604391089882652E-2</v>
      </c>
      <c r="AF31" s="36">
        <f ca="1"/>
        <v>3.9088549194547163E-2</v>
      </c>
      <c r="AG31" s="36">
        <f ca="1"/>
        <v>3.9726256704182478E-2</v>
      </c>
      <c r="AH31" s="36">
        <f ca="1"/>
        <v>4.0642762826729059E-2</v>
      </c>
      <c r="AI31" s="36">
        <f ca="1"/>
        <v>4.0711337255859799E-2</v>
      </c>
      <c r="AJ31" s="36">
        <f ca="1"/>
        <v>4.1163633364486231E-2</v>
      </c>
      <c r="AK31" s="36">
        <f ca="1"/>
        <v>4.0017910928058738E-2</v>
      </c>
      <c r="AL31" s="36">
        <f ca="1"/>
        <v>4.0067301266209811E-2</v>
      </c>
      <c r="AM31" s="36">
        <f ca="1"/>
        <v>3.9389508451764761E-2</v>
      </c>
      <c r="AN31" s="36">
        <f ca="1"/>
        <v>3.998386035160699E-2</v>
      </c>
      <c r="AO31" s="36">
        <f ca="1"/>
        <v>4.0802572160737419E-2</v>
      </c>
      <c r="AP31" s="36">
        <f ca="1"/>
        <v>4.1665119535826176E-2</v>
      </c>
      <c r="AQ31" s="36">
        <f ca="1"/>
        <v>4.1726729389596109E-2</v>
      </c>
      <c r="AR31" s="36">
        <f ca="1"/>
        <v>4.2588080419415704E-2</v>
      </c>
      <c r="AS31" s="36">
        <f ca="1"/>
        <v>4.282334292259822E-2</v>
      </c>
      <c r="AT31" s="36">
        <f ca="1"/>
        <v>4.391913209668253E-2</v>
      </c>
      <c r="AU31" s="36">
        <f ca="1"/>
        <v>4.3521346131891306E-2</v>
      </c>
      <c r="AV31" s="36">
        <f ca="1"/>
        <v>4.5013997170663719E-2</v>
      </c>
      <c r="AW31" s="36">
        <f ca="1"/>
        <v>4.5796586232947731E-2</v>
      </c>
      <c r="AX31" s="36">
        <f ca="1"/>
        <v>4.6136669502981439E-2</v>
      </c>
      <c r="AY31" s="36">
        <f ca="1"/>
        <v>4.7137013244066127E-2</v>
      </c>
      <c r="AZ31" s="36">
        <f ca="1"/>
        <v>4.6649755721338178E-2</v>
      </c>
      <c r="BA31" s="36">
        <f ca="1"/>
        <v>4.6264476318132471E-2</v>
      </c>
      <c r="BB31" s="36">
        <f ca="1"/>
        <v>4.6148870719016168E-2</v>
      </c>
      <c r="BC31" s="36">
        <f ca="1"/>
        <v>4.7403777015237507E-2</v>
      </c>
      <c r="BD31" s="36">
        <f ca="1"/>
        <v>4.8162131944958733E-2</v>
      </c>
      <c r="BE31" s="36">
        <f ca="1"/>
        <v>4.6969249450141581E-2</v>
      </c>
      <c r="BF31" s="36">
        <f ca="1"/>
        <v>4.7858569153705129E-2</v>
      </c>
      <c r="BG31" s="36">
        <f ca="1"/>
        <v>4.7710173930775306E-2</v>
      </c>
      <c r="BH31" s="36">
        <f ca="1"/>
        <v>4.8135003419194473E-2</v>
      </c>
      <c r="BI31" s="36">
        <f ca="1"/>
        <v>4.926991775842799E-2</v>
      </c>
      <c r="BJ31" s="36">
        <f ca="1"/>
        <v>4.9198994971656855E-2</v>
      </c>
      <c r="BK31" s="36">
        <f ca="1"/>
        <v>4.8489068258272039E-2</v>
      </c>
      <c r="BL31" s="36">
        <f ca="1"/>
        <v>4.811705186763645E-2</v>
      </c>
      <c r="BM31" s="36">
        <f ca="1"/>
        <v>4.7440571643905277E-2</v>
      </c>
      <c r="BN31" s="36">
        <f ca="1"/>
        <v>4.8522561142696832E-2</v>
      </c>
      <c r="BO31" s="36">
        <f ca="1"/>
        <v>4.9184095841761456E-2</v>
      </c>
      <c r="BP31" s="36">
        <f ca="1"/>
        <v>4.8389548807544439E-2</v>
      </c>
      <c r="BQ31" s="36">
        <f ca="1"/>
        <v>4.8912128659037692E-2</v>
      </c>
      <c r="BR31" s="36">
        <f ca="1"/>
        <v>4.8642037870688902E-2</v>
      </c>
      <c r="BS31" s="36">
        <f ca="1"/>
        <v>4.8996318260707473E-2</v>
      </c>
      <c r="BT31" s="36">
        <f ca="1"/>
        <v>4.8717749258400021E-2</v>
      </c>
      <c r="BU31" s="36">
        <f ca="1"/>
        <v>4.8730395812608941E-2</v>
      </c>
      <c r="BV31" s="36">
        <f ca="1"/>
        <v>5.0667752699124297E-2</v>
      </c>
      <c r="BW31" s="36">
        <f ca="1"/>
        <v>5.0974177246279395E-2</v>
      </c>
      <c r="BX31" s="36">
        <f ca="1"/>
        <v>5.163558826304035E-2</v>
      </c>
      <c r="BY31" s="36">
        <f ca="1"/>
        <v>5.1633018011184036E-2</v>
      </c>
      <c r="BZ31" s="36">
        <f ca="1"/>
        <v>5.1566740568626951E-2</v>
      </c>
      <c r="CA31" s="36">
        <f ca="1"/>
        <v>5.2107560174915447E-2</v>
      </c>
      <c r="CB31" s="36">
        <f ca="1"/>
        <v>5.0234363506994138E-2</v>
      </c>
      <c r="CC31" s="36">
        <f ca="1"/>
        <v>5.0772661173529035E-2</v>
      </c>
      <c r="CD31" s="36">
        <f ca="1"/>
        <v>4.9718246965324904E-2</v>
      </c>
      <c r="CE31" s="36">
        <f ca="1"/>
        <v>4.949453404887464E-2</v>
      </c>
      <c r="CF31" s="36">
        <f ca="1"/>
        <v>4.9972390578971827E-2</v>
      </c>
      <c r="CG31" s="36">
        <f ca="1"/>
        <v>4.9509361781470654E-2</v>
      </c>
      <c r="CH31" s="36">
        <f ca="1"/>
        <v>4.9345169002881814E-2</v>
      </c>
      <c r="CI31" s="36">
        <f ca="1"/>
        <v>4.9385778587134846E-2</v>
      </c>
      <c r="CJ31" s="36">
        <f ca="1"/>
        <v>4.8846545810968006E-2</v>
      </c>
      <c r="CK31" s="36">
        <f ca="1"/>
        <v>4.8757043688253204E-2</v>
      </c>
      <c r="CL31" s="36">
        <f ca="1"/>
        <v>4.8936388484132523E-2</v>
      </c>
      <c r="CM31" s="36">
        <f ca="1"/>
        <v>4.8409500189268928E-2</v>
      </c>
      <c r="CN31" s="36">
        <f ca="1"/>
        <v>4.8778507490769903E-2</v>
      </c>
      <c r="CO31" s="36">
        <f ca="1"/>
        <v>4.8835289551913144E-2</v>
      </c>
      <c r="CP31" s="36">
        <f ca="1"/>
        <v>4.9107435830414596E-2</v>
      </c>
      <c r="CQ31" s="36">
        <f ca="1"/>
        <v>4.9654800629591725E-2</v>
      </c>
      <c r="CR31" s="36">
        <f ca="1"/>
        <v>5.0080650092143582E-2</v>
      </c>
      <c r="CS31" s="36">
        <f ca="1"/>
        <v>5.0538091659645394E-2</v>
      </c>
      <c r="CT31" s="36">
        <f ca="1"/>
        <v>5.0341495575489704E-2</v>
      </c>
      <c r="CU31" s="36">
        <f ca="1"/>
        <v>4.9531466644239658E-2</v>
      </c>
      <c r="CV31" s="36">
        <f ca="1"/>
        <v>4.9406422707291564E-2</v>
      </c>
      <c r="CW31" s="36">
        <f ca="1"/>
        <v>4.9685618924428215E-2</v>
      </c>
      <c r="CX31" s="36">
        <f ca="1"/>
        <v>5.0334971930325371E-2</v>
      </c>
      <c r="CY31" s="36">
        <f ca="1"/>
        <v>4.9441281760517E-2</v>
      </c>
      <c r="CZ31" s="36">
        <f ca="1"/>
        <v>4.9274720553847497E-2</v>
      </c>
      <c r="DA31" s="36">
        <f ca="1"/>
        <v>4.9368496700703909E-2</v>
      </c>
      <c r="DB31" s="36">
        <f ca="1"/>
        <v>4.9493584719365477E-2</v>
      </c>
      <c r="DC31" s="36">
        <f ca="1"/>
        <v>4.9385505174285339E-2</v>
      </c>
      <c r="DD31" s="36">
        <f ca="1"/>
        <v>4.893807861234948E-2</v>
      </c>
      <c r="DE31" s="36">
        <f ca="1"/>
        <v>4.9947375492324142E-2</v>
      </c>
      <c r="DF31" s="36">
        <f ca="1"/>
        <v>5.0281097100597937E-2</v>
      </c>
      <c r="DG31" s="36">
        <f ca="1"/>
        <v>4.9894849087410369E-2</v>
      </c>
      <c r="DH31" s="36">
        <f ca="1"/>
        <v>4.9288781462713337E-2</v>
      </c>
      <c r="DI31" s="36">
        <f ca="1"/>
        <v>4.8636624165755593E-2</v>
      </c>
      <c r="DJ31" s="36">
        <f ca="1"/>
        <v>4.9035422385697358E-2</v>
      </c>
      <c r="DK31" s="36">
        <f ca="1"/>
        <v>4.9064674774235727E-2</v>
      </c>
      <c r="DL31" s="36">
        <f ca="1"/>
        <v>4.9927086735104383E-2</v>
      </c>
      <c r="DM31" s="36">
        <f ca="1"/>
        <v>4.8945856877542201E-2</v>
      </c>
      <c r="DN31" s="36">
        <f ca="1"/>
        <v>4.8885403372434695E-2</v>
      </c>
      <c r="DO31" s="36">
        <f ca="1"/>
        <v>4.8984026816855243E-2</v>
      </c>
      <c r="DP31" s="36">
        <f ca="1"/>
        <v>4.8371087561204125E-2</v>
      </c>
      <c r="DQ31" s="36">
        <f ca="1"/>
        <v>4.9163030959356459E-2</v>
      </c>
    </row>
    <row r="32" spans="1:121" s="36" customFormat="1" x14ac:dyDescent="0.3">
      <c r="A32" s="36">
        <f ca="1"/>
        <v>1.980262729617973E-2</v>
      </c>
      <c r="B32" s="36">
        <f ca="1"/>
        <v>2.1261581410535597E-2</v>
      </c>
      <c r="C32" s="36">
        <f ca="1"/>
        <v>2.3192790715676051E-2</v>
      </c>
      <c r="D32" s="36">
        <f ca="1"/>
        <v>2.3425607882902148E-2</v>
      </c>
      <c r="E32" s="36">
        <f ca="1"/>
        <v>2.4604884943966496E-2</v>
      </c>
      <c r="F32" s="36">
        <f ca="1"/>
        <v>2.5429096613727002E-2</v>
      </c>
      <c r="G32" s="36">
        <f ca="1"/>
        <v>2.6493177618795338E-2</v>
      </c>
      <c r="H32" s="36">
        <f ca="1"/>
        <v>2.7982671774947242E-2</v>
      </c>
      <c r="I32" s="36">
        <f ca="1"/>
        <v>2.8158340426290219E-2</v>
      </c>
      <c r="J32" s="36">
        <f ca="1"/>
        <v>2.918061919328243E-2</v>
      </c>
      <c r="K32" s="36">
        <f ca="1"/>
        <v>3.0222408778099605E-2</v>
      </c>
      <c r="L32" s="36">
        <f ca="1"/>
        <v>3.137079846205857E-2</v>
      </c>
      <c r="M32" s="36">
        <f ca="1"/>
        <v>3.1879658375686987E-2</v>
      </c>
      <c r="N32" s="36">
        <f ca="1"/>
        <v>3.2787444883144855E-2</v>
      </c>
      <c r="O32" s="36">
        <f ca="1"/>
        <v>3.3607636626064315E-2</v>
      </c>
      <c r="P32" s="36">
        <f ca="1"/>
        <v>3.4406413820933811E-2</v>
      </c>
      <c r="Q32" s="36">
        <f ca="1"/>
        <v>3.4921260072356471E-2</v>
      </c>
      <c r="R32" s="36">
        <f ca="1"/>
        <v>3.5484887763187603E-2</v>
      </c>
      <c r="S32" s="36">
        <f ca="1"/>
        <v>3.6773482098409395E-2</v>
      </c>
      <c r="T32" s="36">
        <f ca="1"/>
        <v>3.7124132668432806E-2</v>
      </c>
      <c r="U32" s="36">
        <f ca="1"/>
        <v>3.7598688484556074E-2</v>
      </c>
      <c r="V32" s="36">
        <f ca="1"/>
        <v>3.7709923510793053E-2</v>
      </c>
      <c r="W32" s="36">
        <f ca="1"/>
        <v>3.8046672275354014E-2</v>
      </c>
      <c r="X32" s="36">
        <f ca="1"/>
        <v>3.8287700587849395E-2</v>
      </c>
      <c r="Y32" s="36">
        <f ca="1"/>
        <v>3.9327125658473641E-2</v>
      </c>
      <c r="Z32" s="36">
        <f ca="1"/>
        <v>3.9925010549686259E-2</v>
      </c>
      <c r="AA32" s="36">
        <f ca="1"/>
        <v>3.9645508479684677E-2</v>
      </c>
      <c r="AB32" s="36">
        <f ca="1"/>
        <v>4.0960975174400518E-2</v>
      </c>
      <c r="AC32" s="36">
        <f ca="1"/>
        <v>4.1831661495969022E-2</v>
      </c>
      <c r="AD32" s="36">
        <f ca="1"/>
        <v>4.2725228993680968E-2</v>
      </c>
      <c r="AE32" s="36">
        <f ca="1"/>
        <v>4.2907508606146928E-2</v>
      </c>
      <c r="AF32" s="36">
        <f ca="1"/>
        <v>4.2433102895596028E-2</v>
      </c>
      <c r="AG32" s="36">
        <f ca="1"/>
        <v>4.2125852093779795E-2</v>
      </c>
      <c r="AH32" s="36">
        <f ca="1"/>
        <v>4.2866319950515881E-2</v>
      </c>
      <c r="AI32" s="36">
        <f ca="1"/>
        <v>4.2688796292254499E-2</v>
      </c>
      <c r="AJ32" s="36">
        <f ca="1"/>
        <v>4.290703611798511E-2</v>
      </c>
      <c r="AK32" s="36">
        <f ca="1"/>
        <v>4.3197223191858307E-2</v>
      </c>
      <c r="AL32" s="36">
        <f ca="1"/>
        <v>4.4322062949488726E-2</v>
      </c>
      <c r="AM32" s="36">
        <f ca="1"/>
        <v>4.4754172724185866E-2</v>
      </c>
      <c r="AN32" s="36">
        <f ca="1"/>
        <v>4.4448644191662286E-2</v>
      </c>
      <c r="AO32" s="36">
        <f ca="1"/>
        <v>4.4980078056378228E-2</v>
      </c>
      <c r="AP32" s="36">
        <f ca="1"/>
        <v>4.4088231847893469E-2</v>
      </c>
      <c r="AQ32" s="36">
        <f ca="1"/>
        <v>4.4305964173461131E-2</v>
      </c>
      <c r="AR32" s="36">
        <f ca="1"/>
        <v>4.3865643239317131E-2</v>
      </c>
      <c r="AS32" s="36">
        <f ca="1"/>
        <v>4.388795357591594E-2</v>
      </c>
      <c r="AT32" s="36">
        <f ca="1"/>
        <v>4.3268116020853738E-2</v>
      </c>
      <c r="AU32" s="36">
        <f ca="1"/>
        <v>4.2823337045341116E-2</v>
      </c>
      <c r="AV32" s="36">
        <f ca="1"/>
        <v>4.2955114891699508E-2</v>
      </c>
      <c r="AW32" s="36">
        <f ca="1"/>
        <v>4.256392585879714E-2</v>
      </c>
      <c r="AX32" s="36">
        <f ca="1"/>
        <v>4.3351884550663099E-2</v>
      </c>
      <c r="AY32" s="36">
        <f ca="1"/>
        <v>4.4293321863661167E-2</v>
      </c>
      <c r="AZ32" s="36">
        <f ca="1"/>
        <v>4.4546101857649373E-2</v>
      </c>
      <c r="BA32" s="36">
        <f ca="1"/>
        <v>4.4726101010840048E-2</v>
      </c>
      <c r="BB32" s="36">
        <f ca="1"/>
        <v>4.4694957698393045E-2</v>
      </c>
      <c r="BC32" s="36">
        <f ca="1"/>
        <v>4.5468006666218454E-2</v>
      </c>
      <c r="BD32" s="36">
        <f ca="1"/>
        <v>4.5938321413988202E-2</v>
      </c>
      <c r="BE32" s="36">
        <f ca="1"/>
        <v>4.6113666613491713E-2</v>
      </c>
      <c r="BF32" s="36">
        <f ca="1"/>
        <v>4.5530298415061357E-2</v>
      </c>
      <c r="BG32" s="36">
        <f ca="1"/>
        <v>4.6301864546491468E-2</v>
      </c>
      <c r="BH32" s="36">
        <f ca="1"/>
        <v>4.7631417289866397E-2</v>
      </c>
      <c r="BI32" s="36">
        <f ca="1"/>
        <v>4.7101170519469819E-2</v>
      </c>
      <c r="BJ32" s="36">
        <f ca="1"/>
        <v>4.6880756636057584E-2</v>
      </c>
      <c r="BK32" s="36">
        <f ca="1"/>
        <v>4.7294652957093099E-2</v>
      </c>
      <c r="BL32" s="36">
        <f ca="1"/>
        <v>4.8134269228316311E-2</v>
      </c>
      <c r="BM32" s="36">
        <f ca="1"/>
        <v>4.7042444984401341E-2</v>
      </c>
      <c r="BN32" s="36">
        <f ca="1"/>
        <v>4.7386501705883127E-2</v>
      </c>
      <c r="BO32" s="36">
        <f ca="1"/>
        <v>4.6829903180070007E-2</v>
      </c>
      <c r="BP32" s="36">
        <f ca="1"/>
        <v>4.7764758759625485E-2</v>
      </c>
      <c r="BQ32" s="36">
        <f ca="1"/>
        <v>4.8444173484503771E-2</v>
      </c>
      <c r="BR32" s="36">
        <f ca="1"/>
        <v>4.8830540535297715E-2</v>
      </c>
      <c r="BS32" s="36">
        <f ca="1"/>
        <v>4.9367522416198177E-2</v>
      </c>
      <c r="BT32" s="36">
        <f ca="1"/>
        <v>4.8936375558632908E-2</v>
      </c>
      <c r="BU32" s="36">
        <f ca="1"/>
        <v>4.7938432232014633E-2</v>
      </c>
      <c r="BV32" s="36">
        <f ca="1"/>
        <v>4.7847341391172117E-2</v>
      </c>
      <c r="BW32" s="36">
        <f ca="1"/>
        <v>4.6423693106053876E-2</v>
      </c>
      <c r="BX32" s="36">
        <f ca="1"/>
        <v>4.6819542040394679E-2</v>
      </c>
      <c r="BY32" s="36">
        <f ca="1"/>
        <v>4.7576288143366285E-2</v>
      </c>
      <c r="BZ32" s="36">
        <f ca="1"/>
        <v>4.7459200665828323E-2</v>
      </c>
      <c r="CA32" s="36">
        <f ca="1"/>
        <v>4.7699778060442809E-2</v>
      </c>
      <c r="CB32" s="36">
        <f ca="1"/>
        <v>4.7745260304536588E-2</v>
      </c>
      <c r="CC32" s="36">
        <f ca="1"/>
        <v>4.8612687707046458E-2</v>
      </c>
      <c r="CD32" s="36">
        <f ca="1"/>
        <v>4.9776950932573387E-2</v>
      </c>
      <c r="CE32" s="36">
        <f ca="1"/>
        <v>4.9870304969500956E-2</v>
      </c>
      <c r="CF32" s="36">
        <f ca="1"/>
        <v>4.9271411427745167E-2</v>
      </c>
      <c r="CG32" s="36">
        <f ca="1"/>
        <v>4.8647563066145587E-2</v>
      </c>
      <c r="CH32" s="36">
        <f ca="1"/>
        <v>4.8938993694501352E-2</v>
      </c>
      <c r="CI32" s="36">
        <f ca="1"/>
        <v>4.995352661291462E-2</v>
      </c>
      <c r="CJ32" s="36">
        <f ca="1"/>
        <v>4.8997380075107982E-2</v>
      </c>
      <c r="CK32" s="36">
        <f ca="1"/>
        <v>4.9322145194466531E-2</v>
      </c>
      <c r="CL32" s="36">
        <f ca="1"/>
        <v>4.9034947598231078E-2</v>
      </c>
      <c r="CM32" s="36">
        <f ca="1"/>
        <v>4.88475615912142E-2</v>
      </c>
      <c r="CN32" s="36">
        <f ca="1"/>
        <v>4.859680954251816E-2</v>
      </c>
      <c r="CO32" s="36">
        <f ca="1"/>
        <v>4.9340484248586239E-2</v>
      </c>
      <c r="CP32" s="36">
        <f ca="1"/>
        <v>5.0020980082082916E-2</v>
      </c>
      <c r="CQ32" s="36">
        <f ca="1"/>
        <v>5.0315164273519467E-2</v>
      </c>
      <c r="CR32" s="36">
        <f ca="1"/>
        <v>5.0423650336577655E-2</v>
      </c>
      <c r="CS32" s="36">
        <f ca="1"/>
        <v>5.12260501868846E-2</v>
      </c>
      <c r="CT32" s="36">
        <f ca="1"/>
        <v>5.0938878188977202E-2</v>
      </c>
      <c r="CU32" s="36">
        <f ca="1"/>
        <v>5.009932150960577E-2</v>
      </c>
      <c r="CV32" s="36">
        <f ca="1"/>
        <v>5.0300967565980008E-2</v>
      </c>
      <c r="CW32" s="36">
        <f ca="1"/>
        <v>4.8579289168015148E-2</v>
      </c>
      <c r="CX32" s="36">
        <f ca="1"/>
        <v>4.8234430586474628E-2</v>
      </c>
      <c r="CY32" s="36">
        <f ca="1"/>
        <v>4.9158295241589101E-2</v>
      </c>
      <c r="CZ32" s="36">
        <f ca="1"/>
        <v>4.9564973764229962E-2</v>
      </c>
      <c r="DA32" s="36">
        <f ca="1"/>
        <v>4.9378508522777656E-2</v>
      </c>
      <c r="DB32" s="36">
        <f ca="1"/>
        <v>4.8879737977938091E-2</v>
      </c>
      <c r="DC32" s="36">
        <f ca="1"/>
        <v>4.8400583483068992E-2</v>
      </c>
      <c r="DD32" s="36">
        <f ca="1"/>
        <v>4.9515104778357563E-2</v>
      </c>
      <c r="DE32" s="36">
        <f ca="1"/>
        <v>5.0215792085248866E-2</v>
      </c>
      <c r="DF32" s="36">
        <f ca="1"/>
        <v>4.9566332929756866E-2</v>
      </c>
      <c r="DG32" s="36">
        <f ca="1"/>
        <v>4.7960132569984507E-2</v>
      </c>
      <c r="DH32" s="36">
        <f ca="1"/>
        <v>4.8319552571165943E-2</v>
      </c>
      <c r="DI32" s="36">
        <f ca="1"/>
        <v>4.8773893003280278E-2</v>
      </c>
      <c r="DJ32" s="36">
        <f ca="1"/>
        <v>4.742157558874787E-2</v>
      </c>
      <c r="DK32" s="36">
        <f ca="1"/>
        <v>4.7189046504338521E-2</v>
      </c>
      <c r="DL32" s="36">
        <f ca="1"/>
        <v>4.7814256349426119E-2</v>
      </c>
      <c r="DM32" s="36">
        <f ca="1"/>
        <v>4.7058899107585608E-2</v>
      </c>
      <c r="DN32" s="36">
        <f ca="1"/>
        <v>4.7414724300702316E-2</v>
      </c>
      <c r="DO32" s="36">
        <f ca="1"/>
        <v>4.860333841183917E-2</v>
      </c>
      <c r="DP32" s="36">
        <f ca="1"/>
        <v>4.8402027231959112E-2</v>
      </c>
      <c r="DQ32" s="36">
        <f ca="1"/>
        <v>4.8801923872379464E-2</v>
      </c>
    </row>
    <row r="33" spans="1:121" s="36" customFormat="1" x14ac:dyDescent="0.3">
      <c r="A33" s="36">
        <f ca="1"/>
        <v>1.980262729617973E-2</v>
      </c>
      <c r="B33" s="36">
        <f ca="1"/>
        <v>2.0886089292601284E-2</v>
      </c>
      <c r="C33" s="36">
        <f ca="1"/>
        <v>2.1961942855995901E-2</v>
      </c>
      <c r="D33" s="36">
        <f ca="1"/>
        <v>2.3271313316280288E-2</v>
      </c>
      <c r="E33" s="36">
        <f ca="1"/>
        <v>2.4222385836871283E-2</v>
      </c>
      <c r="F33" s="36">
        <f ca="1"/>
        <v>2.5242729128873192E-2</v>
      </c>
      <c r="G33" s="36">
        <f ca="1"/>
        <v>2.6427531532628511E-2</v>
      </c>
      <c r="H33" s="36">
        <f ca="1"/>
        <v>2.7194890252300975E-2</v>
      </c>
      <c r="I33" s="36">
        <f ca="1"/>
        <v>2.8675936425338031E-2</v>
      </c>
      <c r="J33" s="36">
        <f ca="1"/>
        <v>3.0509127426199521E-2</v>
      </c>
      <c r="K33" s="36">
        <f ca="1"/>
        <v>3.1573433086996894E-2</v>
      </c>
      <c r="L33" s="36">
        <f ca="1"/>
        <v>3.288945909681102E-2</v>
      </c>
      <c r="M33" s="36">
        <f ca="1"/>
        <v>3.3433555584404813E-2</v>
      </c>
      <c r="N33" s="36">
        <f ca="1"/>
        <v>3.3341503756385546E-2</v>
      </c>
      <c r="O33" s="36">
        <f ca="1"/>
        <v>3.4676181549479421E-2</v>
      </c>
      <c r="P33" s="36">
        <f ca="1"/>
        <v>3.4809000805992807E-2</v>
      </c>
      <c r="Q33" s="36">
        <f ca="1"/>
        <v>3.4586039247015962E-2</v>
      </c>
      <c r="R33" s="36">
        <f ca="1"/>
        <v>3.5336992196872107E-2</v>
      </c>
      <c r="S33" s="36">
        <f ca="1"/>
        <v>3.5155570669953812E-2</v>
      </c>
      <c r="T33" s="36">
        <f ca="1"/>
        <v>3.5716120617783453E-2</v>
      </c>
      <c r="U33" s="36">
        <f ca="1"/>
        <v>3.6419019031147817E-2</v>
      </c>
      <c r="V33" s="36">
        <f ca="1"/>
        <v>3.8285488891168146E-2</v>
      </c>
      <c r="W33" s="36">
        <f ca="1"/>
        <v>3.9603034371238702E-2</v>
      </c>
      <c r="X33" s="36">
        <f ca="1"/>
        <v>4.0658897734674689E-2</v>
      </c>
      <c r="Y33" s="36">
        <f ca="1"/>
        <v>4.0409039662717652E-2</v>
      </c>
      <c r="Z33" s="36">
        <f ca="1"/>
        <v>4.123834075837441E-2</v>
      </c>
      <c r="AA33" s="36">
        <f ca="1"/>
        <v>4.1904562787206598E-2</v>
      </c>
      <c r="AB33" s="36">
        <f ca="1"/>
        <v>4.2141950655790593E-2</v>
      </c>
      <c r="AC33" s="36">
        <f ca="1"/>
        <v>4.2678532799594132E-2</v>
      </c>
      <c r="AD33" s="36">
        <f ca="1"/>
        <v>4.3040425697670068E-2</v>
      </c>
      <c r="AE33" s="36">
        <f ca="1"/>
        <v>4.3903334307893241E-2</v>
      </c>
      <c r="AF33" s="36">
        <f ca="1"/>
        <v>4.4424995318871716E-2</v>
      </c>
      <c r="AG33" s="36">
        <f ca="1"/>
        <v>4.545183933548113E-2</v>
      </c>
      <c r="AH33" s="36">
        <f ca="1"/>
        <v>4.4793835475365064E-2</v>
      </c>
      <c r="AI33" s="36">
        <f ca="1"/>
        <v>4.5098810015524349E-2</v>
      </c>
      <c r="AJ33" s="36">
        <f ca="1"/>
        <v>4.5862683104686809E-2</v>
      </c>
      <c r="AK33" s="36">
        <f ca="1"/>
        <v>4.5320283389728641E-2</v>
      </c>
      <c r="AL33" s="36">
        <f ca="1"/>
        <v>4.503238612724781E-2</v>
      </c>
      <c r="AM33" s="36">
        <f ca="1"/>
        <v>4.5967461688009324E-2</v>
      </c>
      <c r="AN33" s="36">
        <f ca="1"/>
        <v>4.6456290353702967E-2</v>
      </c>
      <c r="AO33" s="36">
        <f ca="1"/>
        <v>4.631319404581552E-2</v>
      </c>
      <c r="AP33" s="36">
        <f ca="1"/>
        <v>4.7857256916364818E-2</v>
      </c>
      <c r="AQ33" s="36">
        <f ca="1"/>
        <v>4.8462006116257512E-2</v>
      </c>
      <c r="AR33" s="36">
        <f ca="1"/>
        <v>4.9003690474557493E-2</v>
      </c>
      <c r="AS33" s="36">
        <f ca="1"/>
        <v>4.8842727917676597E-2</v>
      </c>
      <c r="AT33" s="36">
        <f ca="1"/>
        <v>4.8608165470499946E-2</v>
      </c>
      <c r="AU33" s="36">
        <f ca="1"/>
        <v>4.9473493678359078E-2</v>
      </c>
      <c r="AV33" s="36">
        <f ca="1"/>
        <v>5.0419125301742786E-2</v>
      </c>
      <c r="AW33" s="36">
        <f ca="1"/>
        <v>4.9564961431012917E-2</v>
      </c>
      <c r="AX33" s="36">
        <f ca="1"/>
        <v>4.8945400108891549E-2</v>
      </c>
      <c r="AY33" s="36">
        <f ca="1"/>
        <v>4.9496328086635136E-2</v>
      </c>
      <c r="AZ33" s="36">
        <f ca="1"/>
        <v>4.8705961928971447E-2</v>
      </c>
      <c r="BA33" s="36">
        <f ca="1"/>
        <v>4.9027305677783233E-2</v>
      </c>
      <c r="BB33" s="36">
        <f ca="1"/>
        <v>4.904957167146265E-2</v>
      </c>
      <c r="BC33" s="36">
        <f ca="1"/>
        <v>4.9575325348779668E-2</v>
      </c>
      <c r="BD33" s="36">
        <f ca="1"/>
        <v>4.9801417717051211E-2</v>
      </c>
      <c r="BE33" s="36">
        <f ca="1"/>
        <v>4.9022937251857267E-2</v>
      </c>
      <c r="BF33" s="36">
        <f ca="1"/>
        <v>4.9640455076344119E-2</v>
      </c>
      <c r="BG33" s="36">
        <f ca="1"/>
        <v>4.9294748339980536E-2</v>
      </c>
      <c r="BH33" s="36">
        <f ca="1"/>
        <v>4.9129768654335396E-2</v>
      </c>
      <c r="BI33" s="36">
        <f ca="1"/>
        <v>4.8876559005813135E-2</v>
      </c>
      <c r="BJ33" s="36">
        <f ca="1"/>
        <v>4.9647015499328838E-2</v>
      </c>
      <c r="BK33" s="36">
        <f ca="1"/>
        <v>5.0458662981027469E-2</v>
      </c>
      <c r="BL33" s="36">
        <f ca="1"/>
        <v>5.1233888725856928E-2</v>
      </c>
      <c r="BM33" s="36">
        <f ca="1"/>
        <v>5.200832799916788E-2</v>
      </c>
      <c r="BN33" s="36">
        <f ca="1"/>
        <v>5.1532803652865264E-2</v>
      </c>
      <c r="BO33" s="36">
        <f ca="1"/>
        <v>5.0921037595795367E-2</v>
      </c>
      <c r="BP33" s="36">
        <f ca="1"/>
        <v>5.0740131275225586E-2</v>
      </c>
      <c r="BQ33" s="36">
        <f ca="1"/>
        <v>4.9312466407169749E-2</v>
      </c>
      <c r="BR33" s="36">
        <f ca="1"/>
        <v>4.8635532968488701E-2</v>
      </c>
      <c r="BS33" s="36">
        <f ca="1"/>
        <v>4.8632504327334618E-2</v>
      </c>
      <c r="BT33" s="36">
        <f ca="1"/>
        <v>4.8300889491075263E-2</v>
      </c>
      <c r="BU33" s="36">
        <f ca="1"/>
        <v>4.8789628712397358E-2</v>
      </c>
      <c r="BV33" s="36">
        <f ca="1"/>
        <v>4.8373532019896859E-2</v>
      </c>
      <c r="BW33" s="36">
        <f ca="1"/>
        <v>4.8364732932493139E-2</v>
      </c>
      <c r="BX33" s="36">
        <f ca="1"/>
        <v>4.9517818604318219E-2</v>
      </c>
      <c r="BY33" s="36">
        <f ca="1"/>
        <v>4.8579191412109965E-2</v>
      </c>
      <c r="BZ33" s="36">
        <f ca="1"/>
        <v>4.8039277632249446E-2</v>
      </c>
      <c r="CA33" s="36">
        <f ca="1"/>
        <v>4.7874919137470405E-2</v>
      </c>
      <c r="CB33" s="36">
        <f ca="1"/>
        <v>4.8389188170803503E-2</v>
      </c>
      <c r="CC33" s="36">
        <f ca="1"/>
        <v>4.8782791961707629E-2</v>
      </c>
      <c r="CD33" s="36">
        <f ca="1"/>
        <v>4.9322897832225258E-2</v>
      </c>
      <c r="CE33" s="36">
        <f ca="1"/>
        <v>4.8950221031762345E-2</v>
      </c>
      <c r="CF33" s="36">
        <f ca="1"/>
        <v>4.9749872014152187E-2</v>
      </c>
      <c r="CG33" s="36">
        <f ca="1"/>
        <v>4.9610193418691981E-2</v>
      </c>
      <c r="CH33" s="36">
        <f ca="1"/>
        <v>5.1177033092682983E-2</v>
      </c>
      <c r="CI33" s="36">
        <f ca="1"/>
        <v>5.1332048635972197E-2</v>
      </c>
      <c r="CJ33" s="36">
        <f ca="1"/>
        <v>5.122102137500173E-2</v>
      </c>
      <c r="CK33" s="36">
        <f ca="1"/>
        <v>5.2003244873901601E-2</v>
      </c>
      <c r="CL33" s="36">
        <f ca="1"/>
        <v>5.1999458619009384E-2</v>
      </c>
      <c r="CM33" s="36">
        <f ca="1"/>
        <v>5.1486893538962408E-2</v>
      </c>
      <c r="CN33" s="36">
        <f ca="1"/>
        <v>5.1296076232905385E-2</v>
      </c>
      <c r="CO33" s="36">
        <f ca="1"/>
        <v>5.1523572778266566E-2</v>
      </c>
      <c r="CP33" s="36">
        <f ca="1"/>
        <v>5.280436566795315E-2</v>
      </c>
      <c r="CQ33" s="36">
        <f ca="1"/>
        <v>5.3067776620166686E-2</v>
      </c>
      <c r="CR33" s="36">
        <f ca="1"/>
        <v>5.3925578889743898E-2</v>
      </c>
      <c r="CS33" s="36">
        <f ca="1"/>
        <v>5.3517293538824305E-2</v>
      </c>
      <c r="CT33" s="36">
        <f ca="1"/>
        <v>5.3570508431317512E-2</v>
      </c>
      <c r="CU33" s="36">
        <f ca="1"/>
        <v>5.2834266993038184E-2</v>
      </c>
      <c r="CV33" s="36">
        <f ca="1"/>
        <v>5.2376774733063472E-2</v>
      </c>
      <c r="CW33" s="36">
        <f ca="1"/>
        <v>5.2421256792842763E-2</v>
      </c>
      <c r="CX33" s="36">
        <f ca="1"/>
        <v>5.1535136906313797E-2</v>
      </c>
      <c r="CY33" s="36">
        <f ca="1"/>
        <v>5.0837680092731548E-2</v>
      </c>
      <c r="CZ33" s="36">
        <f ca="1"/>
        <v>5.1198325073605819E-2</v>
      </c>
      <c r="DA33" s="36">
        <f ca="1"/>
        <v>5.1269224475525489E-2</v>
      </c>
      <c r="DB33" s="36">
        <f ca="1"/>
        <v>5.0253091052153268E-2</v>
      </c>
      <c r="DC33" s="36">
        <f ca="1"/>
        <v>5.0931042775013979E-2</v>
      </c>
      <c r="DD33" s="36">
        <f ca="1"/>
        <v>5.0129782079950738E-2</v>
      </c>
      <c r="DE33" s="36">
        <f ca="1"/>
        <v>5.0409363692990025E-2</v>
      </c>
      <c r="DF33" s="36">
        <f ca="1"/>
        <v>4.9510795806976093E-2</v>
      </c>
      <c r="DG33" s="36">
        <f ca="1"/>
        <v>4.9531821630897574E-2</v>
      </c>
      <c r="DH33" s="36">
        <f ca="1"/>
        <v>4.9586501979612889E-2</v>
      </c>
      <c r="DI33" s="36">
        <f ca="1"/>
        <v>5.0076521341953353E-2</v>
      </c>
      <c r="DJ33" s="36">
        <f ca="1"/>
        <v>5.1037661363542687E-2</v>
      </c>
      <c r="DK33" s="36">
        <f ca="1"/>
        <v>5.1120397724268789E-2</v>
      </c>
      <c r="DL33" s="36">
        <f ca="1"/>
        <v>5.1912455370837454E-2</v>
      </c>
      <c r="DM33" s="36">
        <f ca="1"/>
        <v>5.249435495053744E-2</v>
      </c>
      <c r="DN33" s="36">
        <f ca="1"/>
        <v>5.1951004641640743E-2</v>
      </c>
      <c r="DO33" s="36">
        <f ca="1"/>
        <v>5.3522129433055593E-2</v>
      </c>
      <c r="DP33" s="36">
        <f ca="1"/>
        <v>5.2558631876257686E-2</v>
      </c>
      <c r="DQ33" s="36">
        <f ca="1"/>
        <v>5.1786912030173195E-2</v>
      </c>
    </row>
    <row r="34" spans="1:121" s="36" customFormat="1" x14ac:dyDescent="0.3">
      <c r="A34" s="36">
        <f ca="1"/>
        <v>1.980262729617973E-2</v>
      </c>
      <c r="B34" s="36">
        <f ca="1"/>
        <v>2.09878249379052E-2</v>
      </c>
      <c r="C34" s="36">
        <f ca="1"/>
        <v>2.2477027765948666E-2</v>
      </c>
      <c r="D34" s="36">
        <f ca="1"/>
        <v>2.3625159255973947E-2</v>
      </c>
      <c r="E34" s="36">
        <f ca="1"/>
        <v>2.4285767571959039E-2</v>
      </c>
      <c r="F34" s="36">
        <f ca="1"/>
        <v>2.5723318670160977E-2</v>
      </c>
      <c r="G34" s="36">
        <f ca="1"/>
        <v>2.6622232631195591E-2</v>
      </c>
      <c r="H34" s="36">
        <f ca="1"/>
        <v>2.808188377335492E-2</v>
      </c>
      <c r="I34" s="36">
        <f ca="1"/>
        <v>2.9108623075332744E-2</v>
      </c>
      <c r="J34" s="36">
        <f ca="1"/>
        <v>3.032886307016127E-2</v>
      </c>
      <c r="K34" s="36">
        <f ca="1"/>
        <v>3.0301491590513218E-2</v>
      </c>
      <c r="L34" s="36">
        <f ca="1"/>
        <v>3.1524314100201747E-2</v>
      </c>
      <c r="M34" s="36">
        <f ca="1"/>
        <v>3.3342032522630127E-2</v>
      </c>
      <c r="N34" s="36">
        <f ca="1"/>
        <v>3.349651783748242E-2</v>
      </c>
      <c r="O34" s="36">
        <f ca="1"/>
        <v>3.3606805396800367E-2</v>
      </c>
      <c r="P34" s="36">
        <f ca="1"/>
        <v>3.4668189513617331E-2</v>
      </c>
      <c r="Q34" s="36">
        <f ca="1"/>
        <v>3.5841407022345166E-2</v>
      </c>
      <c r="R34" s="36">
        <f ca="1"/>
        <v>3.6848000139079871E-2</v>
      </c>
      <c r="S34" s="36">
        <f ca="1"/>
        <v>3.710770746824938E-2</v>
      </c>
      <c r="T34" s="36">
        <f ca="1"/>
        <v>3.8030519985182601E-2</v>
      </c>
      <c r="U34" s="36">
        <f ca="1"/>
        <v>3.8430758591583104E-2</v>
      </c>
      <c r="V34" s="36">
        <f ca="1"/>
        <v>3.9749359680717064E-2</v>
      </c>
      <c r="W34" s="36">
        <f ca="1"/>
        <v>3.988084368956523E-2</v>
      </c>
      <c r="X34" s="36">
        <f ca="1"/>
        <v>3.9827940435933795E-2</v>
      </c>
      <c r="Y34" s="36">
        <f ca="1"/>
        <v>3.998937941794186E-2</v>
      </c>
      <c r="Z34" s="36">
        <f ca="1"/>
        <v>4.1313783367175158E-2</v>
      </c>
      <c r="AA34" s="36">
        <f ca="1"/>
        <v>4.0885103050218613E-2</v>
      </c>
      <c r="AB34" s="36">
        <f ca="1"/>
        <v>4.1482031984373127E-2</v>
      </c>
      <c r="AC34" s="36">
        <f ca="1"/>
        <v>4.1828896102132175E-2</v>
      </c>
      <c r="AD34" s="36">
        <f ca="1"/>
        <v>4.2294397265269505E-2</v>
      </c>
      <c r="AE34" s="36">
        <f ca="1"/>
        <v>4.3619609369737952E-2</v>
      </c>
      <c r="AF34" s="36">
        <f ca="1"/>
        <v>4.4078194340321251E-2</v>
      </c>
      <c r="AG34" s="36">
        <f ca="1"/>
        <v>4.3861112084183522E-2</v>
      </c>
      <c r="AH34" s="36">
        <f ca="1"/>
        <v>4.3913079089873942E-2</v>
      </c>
      <c r="AI34" s="36">
        <f ca="1"/>
        <v>4.3251633671767625E-2</v>
      </c>
      <c r="AJ34" s="36">
        <f ca="1"/>
        <v>4.2778597781062223E-2</v>
      </c>
      <c r="AK34" s="36">
        <f ca="1"/>
        <v>4.2856073160946272E-2</v>
      </c>
      <c r="AL34" s="36">
        <f ca="1"/>
        <v>4.368947243201584E-2</v>
      </c>
      <c r="AM34" s="36">
        <f ca="1"/>
        <v>4.561473984886398E-2</v>
      </c>
      <c r="AN34" s="36">
        <f ca="1"/>
        <v>4.6946078343430904E-2</v>
      </c>
      <c r="AO34" s="36">
        <f ca="1"/>
        <v>4.6384533808976607E-2</v>
      </c>
      <c r="AP34" s="36">
        <f ca="1"/>
        <v>4.5771069386360032E-2</v>
      </c>
      <c r="AQ34" s="36">
        <f ca="1"/>
        <v>4.6832894865382953E-2</v>
      </c>
      <c r="AR34" s="36">
        <f ca="1"/>
        <v>4.7518062695774368E-2</v>
      </c>
      <c r="AS34" s="36">
        <f ca="1"/>
        <v>4.6841508410893518E-2</v>
      </c>
      <c r="AT34" s="36">
        <f ca="1"/>
        <v>4.683518754565414E-2</v>
      </c>
      <c r="AU34" s="36">
        <f ca="1"/>
        <v>4.7052768586350935E-2</v>
      </c>
      <c r="AV34" s="36">
        <f ca="1"/>
        <v>4.7128836515642751E-2</v>
      </c>
      <c r="AW34" s="36">
        <f ca="1"/>
        <v>4.6032883823488357E-2</v>
      </c>
      <c r="AX34" s="36">
        <f ca="1"/>
        <v>4.5485280608036249E-2</v>
      </c>
      <c r="AY34" s="36">
        <f ca="1"/>
        <v>4.5959817121044022E-2</v>
      </c>
      <c r="AZ34" s="36">
        <f ca="1"/>
        <v>4.642560495960419E-2</v>
      </c>
      <c r="BA34" s="36">
        <f ca="1"/>
        <v>4.6009477164683323E-2</v>
      </c>
      <c r="BB34" s="36">
        <f ca="1"/>
        <v>4.6619107998151416E-2</v>
      </c>
      <c r="BC34" s="36">
        <f ca="1"/>
        <v>4.6839451495636522E-2</v>
      </c>
      <c r="BD34" s="36">
        <f ca="1"/>
        <v>4.6137129619599294E-2</v>
      </c>
      <c r="BE34" s="36">
        <f ca="1"/>
        <v>4.7113741505358901E-2</v>
      </c>
      <c r="BF34" s="36">
        <f ca="1"/>
        <v>4.6669671707437625E-2</v>
      </c>
      <c r="BG34" s="36">
        <f ca="1"/>
        <v>4.5960904329265591E-2</v>
      </c>
      <c r="BH34" s="36">
        <f ca="1"/>
        <v>4.6005196096876463E-2</v>
      </c>
      <c r="BI34" s="36">
        <f ca="1"/>
        <v>4.6495990766975331E-2</v>
      </c>
      <c r="BJ34" s="36">
        <f ca="1"/>
        <v>4.6756762803790881E-2</v>
      </c>
      <c r="BK34" s="36">
        <f ca="1"/>
        <v>4.631864011852304E-2</v>
      </c>
      <c r="BL34" s="36">
        <f ca="1"/>
        <v>4.5431929206320901E-2</v>
      </c>
      <c r="BM34" s="36">
        <f ca="1"/>
        <v>4.5474808624419487E-2</v>
      </c>
      <c r="BN34" s="36">
        <f ca="1"/>
        <v>4.5690510982782803E-2</v>
      </c>
      <c r="BO34" s="36">
        <f ca="1"/>
        <v>4.5665815850776649E-2</v>
      </c>
      <c r="BP34" s="36">
        <f ca="1"/>
        <v>4.593293202435373E-2</v>
      </c>
      <c r="BQ34" s="36">
        <f ca="1"/>
        <v>4.6245567699005515E-2</v>
      </c>
      <c r="BR34" s="36">
        <f ca="1"/>
        <v>4.6107026802053176E-2</v>
      </c>
      <c r="BS34" s="36">
        <f ca="1"/>
        <v>4.6374575136555442E-2</v>
      </c>
      <c r="BT34" s="36">
        <f ca="1"/>
        <v>4.6558498568213362E-2</v>
      </c>
      <c r="BU34" s="36">
        <f ca="1"/>
        <v>4.6821805866442578E-2</v>
      </c>
      <c r="BV34" s="36">
        <f ca="1"/>
        <v>4.653009793558055E-2</v>
      </c>
      <c r="BW34" s="36">
        <f ca="1"/>
        <v>4.5931357689147197E-2</v>
      </c>
      <c r="BX34" s="36">
        <f ca="1"/>
        <v>4.6782454180571413E-2</v>
      </c>
      <c r="BY34" s="36">
        <f ca="1"/>
        <v>4.595143986155107E-2</v>
      </c>
      <c r="BZ34" s="36">
        <f ca="1"/>
        <v>4.6415726171778915E-2</v>
      </c>
      <c r="CA34" s="36">
        <f ca="1"/>
        <v>4.640027229020962E-2</v>
      </c>
      <c r="CB34" s="36">
        <f ca="1"/>
        <v>4.7438773757425889E-2</v>
      </c>
      <c r="CC34" s="36">
        <f ca="1"/>
        <v>4.8673355261313798E-2</v>
      </c>
      <c r="CD34" s="36">
        <f ca="1"/>
        <v>4.8085397721931093E-2</v>
      </c>
      <c r="CE34" s="36">
        <f ca="1"/>
        <v>4.685891692557826E-2</v>
      </c>
      <c r="CF34" s="36">
        <f ca="1"/>
        <v>4.6480914572706603E-2</v>
      </c>
      <c r="CG34" s="36">
        <f ca="1"/>
        <v>4.6726353499398819E-2</v>
      </c>
      <c r="CH34" s="36">
        <f ca="1"/>
        <v>4.7029963181061958E-2</v>
      </c>
      <c r="CI34" s="36">
        <f ca="1"/>
        <v>4.6140522387804903E-2</v>
      </c>
      <c r="CJ34" s="36">
        <f ca="1"/>
        <v>4.6430737439145255E-2</v>
      </c>
      <c r="CK34" s="36">
        <f ca="1"/>
        <v>4.8052221719738247E-2</v>
      </c>
      <c r="CL34" s="36">
        <f ca="1"/>
        <v>4.7848153940309363E-2</v>
      </c>
      <c r="CM34" s="36">
        <f ca="1"/>
        <v>4.8373371616675952E-2</v>
      </c>
      <c r="CN34" s="36">
        <f ca="1"/>
        <v>4.84750256983012E-2</v>
      </c>
      <c r="CO34" s="36">
        <f ca="1"/>
        <v>4.945983479225495E-2</v>
      </c>
      <c r="CP34" s="36">
        <f ca="1"/>
        <v>4.9052339075267078E-2</v>
      </c>
      <c r="CQ34" s="36">
        <f ca="1"/>
        <v>4.8977037104110541E-2</v>
      </c>
      <c r="CR34" s="36">
        <f ca="1"/>
        <v>4.9129992621192588E-2</v>
      </c>
      <c r="CS34" s="36">
        <f ca="1"/>
        <v>4.8572649585988829E-2</v>
      </c>
      <c r="CT34" s="36">
        <f ca="1"/>
        <v>4.8594953799802776E-2</v>
      </c>
      <c r="CU34" s="36">
        <f ca="1"/>
        <v>4.8053913759919305E-2</v>
      </c>
      <c r="CV34" s="36">
        <f ca="1"/>
        <v>4.8272674154871409E-2</v>
      </c>
      <c r="CW34" s="36">
        <f ca="1"/>
        <v>4.887327877497976E-2</v>
      </c>
      <c r="CX34" s="36">
        <f ca="1"/>
        <v>4.9313305339793244E-2</v>
      </c>
      <c r="CY34" s="36">
        <f ca="1"/>
        <v>5.0364595284358139E-2</v>
      </c>
      <c r="CZ34" s="36">
        <f ca="1"/>
        <v>5.1001163174191948E-2</v>
      </c>
      <c r="DA34" s="36">
        <f ca="1"/>
        <v>5.0325645547951034E-2</v>
      </c>
      <c r="DB34" s="36">
        <f ca="1"/>
        <v>5.2198877645012083E-2</v>
      </c>
      <c r="DC34" s="36">
        <f ca="1"/>
        <v>5.2522534012893744E-2</v>
      </c>
      <c r="DD34" s="36">
        <f ca="1"/>
        <v>5.2354282541493713E-2</v>
      </c>
      <c r="DE34" s="36">
        <f ca="1"/>
        <v>5.2474524096643597E-2</v>
      </c>
      <c r="DF34" s="36">
        <f ca="1"/>
        <v>5.2876344133168308E-2</v>
      </c>
      <c r="DG34" s="36">
        <f ca="1"/>
        <v>5.1918525602719423E-2</v>
      </c>
      <c r="DH34" s="36">
        <f ca="1"/>
        <v>5.1234920756868946E-2</v>
      </c>
      <c r="DI34" s="36">
        <f ca="1"/>
        <v>5.1358004466249038E-2</v>
      </c>
      <c r="DJ34" s="36">
        <f ca="1"/>
        <v>5.1889967198804489E-2</v>
      </c>
      <c r="DK34" s="36">
        <f ca="1"/>
        <v>5.2855497407430257E-2</v>
      </c>
      <c r="DL34" s="36">
        <f ca="1"/>
        <v>5.2311182082340209E-2</v>
      </c>
      <c r="DM34" s="36">
        <f ca="1"/>
        <v>5.1675216716139581E-2</v>
      </c>
      <c r="DN34" s="36">
        <f ca="1"/>
        <v>5.1240270054922578E-2</v>
      </c>
      <c r="DO34" s="36">
        <f ca="1"/>
        <v>5.0873284322347438E-2</v>
      </c>
      <c r="DP34" s="36">
        <f ca="1"/>
        <v>5.0900141887171395E-2</v>
      </c>
      <c r="DQ34" s="36">
        <f ca="1"/>
        <v>5.1082899346457843E-2</v>
      </c>
    </row>
    <row r="35" spans="1:121" s="36" customFormat="1" x14ac:dyDescent="0.3">
      <c r="A35" s="36">
        <f ca="1"/>
        <v>1.980262729617973E-2</v>
      </c>
      <c r="B35" s="36">
        <f ca="1"/>
        <v>2.1300133893042927E-2</v>
      </c>
      <c r="C35" s="36">
        <f ca="1"/>
        <v>2.2395685076228716E-2</v>
      </c>
      <c r="D35" s="36">
        <f ca="1"/>
        <v>2.3645603297939279E-2</v>
      </c>
      <c r="E35" s="36">
        <f ca="1"/>
        <v>2.5417139486302538E-2</v>
      </c>
      <c r="F35" s="36">
        <f ca="1"/>
        <v>2.6837981149472116E-2</v>
      </c>
      <c r="G35" s="36">
        <f ca="1"/>
        <v>2.7812482495811936E-2</v>
      </c>
      <c r="H35" s="36">
        <f ca="1"/>
        <v>2.8166517264207047E-2</v>
      </c>
      <c r="I35" s="36">
        <f ca="1"/>
        <v>2.8656764822417226E-2</v>
      </c>
      <c r="J35" s="36">
        <f ca="1"/>
        <v>2.9629241530999634E-2</v>
      </c>
      <c r="K35" s="36">
        <f ca="1"/>
        <v>3.0730151309204395E-2</v>
      </c>
      <c r="L35" s="36">
        <f ca="1"/>
        <v>3.0721237447360598E-2</v>
      </c>
      <c r="M35" s="36">
        <f ca="1"/>
        <v>3.2276177648032998E-2</v>
      </c>
      <c r="N35" s="36">
        <f ca="1"/>
        <v>3.2849498562626693E-2</v>
      </c>
      <c r="O35" s="36">
        <f ca="1"/>
        <v>3.47867093095389E-2</v>
      </c>
      <c r="P35" s="36">
        <f ca="1"/>
        <v>3.4607664902450083E-2</v>
      </c>
      <c r="Q35" s="36">
        <f ca="1"/>
        <v>3.5905518264842132E-2</v>
      </c>
      <c r="R35" s="36">
        <f ca="1"/>
        <v>3.6626355244756138E-2</v>
      </c>
      <c r="S35" s="36">
        <f ca="1"/>
        <v>3.6739441001291097E-2</v>
      </c>
      <c r="T35" s="36">
        <f ca="1"/>
        <v>3.8113401972614668E-2</v>
      </c>
      <c r="U35" s="36">
        <f ca="1"/>
        <v>3.788938885651949E-2</v>
      </c>
      <c r="V35" s="36">
        <f ca="1"/>
        <v>3.8295865515186593E-2</v>
      </c>
      <c r="W35" s="36">
        <f ca="1"/>
        <v>3.863705492388806E-2</v>
      </c>
      <c r="X35" s="36">
        <f ca="1"/>
        <v>3.9031159580011757E-2</v>
      </c>
      <c r="Y35" s="36">
        <f ca="1"/>
        <v>3.8976487898672051E-2</v>
      </c>
      <c r="Z35" s="36">
        <f ca="1"/>
        <v>4.0094084795639695E-2</v>
      </c>
      <c r="AA35" s="36">
        <f ca="1"/>
        <v>4.1697503405882436E-2</v>
      </c>
      <c r="AB35" s="36">
        <f ca="1"/>
        <v>4.2206497100297398E-2</v>
      </c>
      <c r="AC35" s="36">
        <f ca="1"/>
        <v>4.2214947763648897E-2</v>
      </c>
      <c r="AD35" s="36">
        <f ca="1"/>
        <v>4.3687429327107757E-2</v>
      </c>
      <c r="AE35" s="36">
        <f ca="1"/>
        <v>4.4401220742411276E-2</v>
      </c>
      <c r="AF35" s="36">
        <f ca="1"/>
        <v>4.5425677862549287E-2</v>
      </c>
      <c r="AG35" s="36">
        <f ca="1"/>
        <v>4.565341741557831E-2</v>
      </c>
      <c r="AH35" s="36">
        <f ca="1"/>
        <v>4.576577285024621E-2</v>
      </c>
      <c r="AI35" s="36">
        <f ca="1"/>
        <v>4.5302277128570385E-2</v>
      </c>
      <c r="AJ35" s="36">
        <f ca="1"/>
        <v>4.5340955963472637E-2</v>
      </c>
      <c r="AK35" s="36">
        <f ca="1"/>
        <v>4.4927533666458415E-2</v>
      </c>
      <c r="AL35" s="36">
        <f ca="1"/>
        <v>4.4603869918750622E-2</v>
      </c>
      <c r="AM35" s="36">
        <f ca="1"/>
        <v>4.4422698743731795E-2</v>
      </c>
      <c r="AN35" s="36">
        <f ca="1"/>
        <v>4.4519142789496965E-2</v>
      </c>
      <c r="AO35" s="36">
        <f ca="1"/>
        <v>4.4459703976945215E-2</v>
      </c>
      <c r="AP35" s="36">
        <f ca="1"/>
        <v>4.500010138011374E-2</v>
      </c>
      <c r="AQ35" s="36">
        <f ca="1"/>
        <v>4.5179463711342807E-2</v>
      </c>
      <c r="AR35" s="36">
        <f ca="1"/>
        <v>4.5409109931540736E-2</v>
      </c>
      <c r="AS35" s="36">
        <f ca="1"/>
        <v>4.4892433661412094E-2</v>
      </c>
      <c r="AT35" s="36">
        <f ca="1"/>
        <v>4.5698384227681396E-2</v>
      </c>
      <c r="AU35" s="36">
        <f ca="1"/>
        <v>4.6060674619308746E-2</v>
      </c>
      <c r="AV35" s="36">
        <f ca="1"/>
        <v>4.5821587787956128E-2</v>
      </c>
      <c r="AW35" s="36">
        <f ca="1"/>
        <v>4.6058576546813196E-2</v>
      </c>
      <c r="AX35" s="36">
        <f ca="1"/>
        <v>4.6151283564083115E-2</v>
      </c>
      <c r="AY35" s="36">
        <f ca="1"/>
        <v>4.6532344984704682E-2</v>
      </c>
      <c r="AZ35" s="36">
        <f ca="1"/>
        <v>4.6414490834974335E-2</v>
      </c>
      <c r="BA35" s="36">
        <f ca="1"/>
        <v>4.7101516704553356E-2</v>
      </c>
      <c r="BB35" s="36">
        <f ca="1"/>
        <v>4.6089284918824615E-2</v>
      </c>
      <c r="BC35" s="36">
        <f ca="1"/>
        <v>4.6162733506929718E-2</v>
      </c>
      <c r="BD35" s="36">
        <f ca="1"/>
        <v>4.5969989463219819E-2</v>
      </c>
      <c r="BE35" s="36">
        <f ca="1"/>
        <v>4.5179533373807208E-2</v>
      </c>
      <c r="BF35" s="36">
        <f ca="1"/>
        <v>4.6006176000191204E-2</v>
      </c>
      <c r="BG35" s="36">
        <f ca="1"/>
        <v>4.609969912574205E-2</v>
      </c>
      <c r="BH35" s="36">
        <f ca="1"/>
        <v>4.57240383385671E-2</v>
      </c>
      <c r="BI35" s="36">
        <f ca="1"/>
        <v>4.7583699703297913E-2</v>
      </c>
      <c r="BJ35" s="36">
        <f ca="1"/>
        <v>4.719558764675489E-2</v>
      </c>
      <c r="BK35" s="36">
        <f ca="1"/>
        <v>4.6654135136216114E-2</v>
      </c>
      <c r="BL35" s="36">
        <f ca="1"/>
        <v>4.6563576450256917E-2</v>
      </c>
      <c r="BM35" s="36">
        <f ca="1"/>
        <v>4.602129916117316E-2</v>
      </c>
      <c r="BN35" s="36">
        <f ca="1"/>
        <v>4.5956402955367723E-2</v>
      </c>
      <c r="BO35" s="36">
        <f ca="1"/>
        <v>4.5612955146437734E-2</v>
      </c>
      <c r="BP35" s="36">
        <f ca="1"/>
        <v>4.5340521416918363E-2</v>
      </c>
      <c r="BQ35" s="36">
        <f ca="1"/>
        <v>4.4268323030185873E-2</v>
      </c>
      <c r="BR35" s="36">
        <f ca="1"/>
        <v>4.4055610871905224E-2</v>
      </c>
      <c r="BS35" s="36">
        <f ca="1"/>
        <v>4.3702260215681361E-2</v>
      </c>
      <c r="BT35" s="36">
        <f ca="1"/>
        <v>4.4091459472260772E-2</v>
      </c>
      <c r="BU35" s="36">
        <f ca="1"/>
        <v>4.3460965946015749E-2</v>
      </c>
      <c r="BV35" s="36">
        <f ca="1"/>
        <v>4.3890917554238372E-2</v>
      </c>
      <c r="BW35" s="36">
        <f ca="1"/>
        <v>4.4977675697146974E-2</v>
      </c>
      <c r="BX35" s="36">
        <f ca="1"/>
        <v>4.4166938267733977E-2</v>
      </c>
      <c r="BY35" s="36">
        <f ca="1"/>
        <v>4.5067406676448311E-2</v>
      </c>
      <c r="BZ35" s="36">
        <f ca="1"/>
        <v>4.4650661989025689E-2</v>
      </c>
      <c r="CA35" s="36">
        <f ca="1"/>
        <v>4.4314066241113427E-2</v>
      </c>
      <c r="CB35" s="36">
        <f ca="1"/>
        <v>4.6137936643473113E-2</v>
      </c>
      <c r="CC35" s="36">
        <f ca="1"/>
        <v>4.640577490801881E-2</v>
      </c>
      <c r="CD35" s="36">
        <f ca="1"/>
        <v>4.6896902184949643E-2</v>
      </c>
      <c r="CE35" s="36">
        <f ca="1"/>
        <v>4.7721254933459169E-2</v>
      </c>
      <c r="CF35" s="36">
        <f ca="1"/>
        <v>4.8717460990965675E-2</v>
      </c>
      <c r="CG35" s="36">
        <f ca="1"/>
        <v>4.9099428837256438E-2</v>
      </c>
      <c r="CH35" s="36">
        <f ca="1"/>
        <v>4.808168360958498E-2</v>
      </c>
      <c r="CI35" s="36">
        <f ca="1"/>
        <v>4.8399614597398145E-2</v>
      </c>
      <c r="CJ35" s="36">
        <f ca="1"/>
        <v>4.8013594944136033E-2</v>
      </c>
      <c r="CK35" s="36">
        <f ca="1"/>
        <v>4.9440844831996129E-2</v>
      </c>
      <c r="CL35" s="36">
        <f ca="1"/>
        <v>4.913883965287269E-2</v>
      </c>
      <c r="CM35" s="36">
        <f ca="1"/>
        <v>4.8084823856449133E-2</v>
      </c>
      <c r="CN35" s="36">
        <f ca="1"/>
        <v>4.8099021622524871E-2</v>
      </c>
      <c r="CO35" s="36">
        <f ca="1"/>
        <v>4.8320173088098842E-2</v>
      </c>
      <c r="CP35" s="36">
        <f ca="1"/>
        <v>4.8657723637536628E-2</v>
      </c>
      <c r="CQ35" s="36">
        <f ca="1"/>
        <v>4.8774718347279006E-2</v>
      </c>
      <c r="CR35" s="36">
        <f ca="1"/>
        <v>4.8775715911586318E-2</v>
      </c>
      <c r="CS35" s="36">
        <f ca="1"/>
        <v>4.9028468923593457E-2</v>
      </c>
      <c r="CT35" s="36">
        <f ca="1"/>
        <v>4.8668387638371877E-2</v>
      </c>
      <c r="CU35" s="36">
        <f ca="1"/>
        <v>4.8590651037630356E-2</v>
      </c>
      <c r="CV35" s="36">
        <f ca="1"/>
        <v>4.8765921582149603E-2</v>
      </c>
      <c r="CW35" s="36">
        <f ca="1"/>
        <v>4.9294647131563334E-2</v>
      </c>
      <c r="CX35" s="36">
        <f ca="1"/>
        <v>4.9051260548438412E-2</v>
      </c>
      <c r="CY35" s="36">
        <f ca="1"/>
        <v>4.9138901982381071E-2</v>
      </c>
      <c r="CZ35" s="36">
        <f ca="1"/>
        <v>5.0154220747071362E-2</v>
      </c>
      <c r="DA35" s="36">
        <f ca="1"/>
        <v>5.1783745938498986E-2</v>
      </c>
      <c r="DB35" s="36">
        <f ca="1"/>
        <v>5.2065339731530123E-2</v>
      </c>
      <c r="DC35" s="36">
        <f ca="1"/>
        <v>5.2987946033668201E-2</v>
      </c>
      <c r="DD35" s="36">
        <f ca="1"/>
        <v>5.2941333889702617E-2</v>
      </c>
      <c r="DE35" s="36">
        <f ca="1"/>
        <v>5.1829250890233998E-2</v>
      </c>
      <c r="DF35" s="36">
        <f ca="1"/>
        <v>5.1942563255041721E-2</v>
      </c>
      <c r="DG35" s="36">
        <f ca="1"/>
        <v>5.2094765355249525E-2</v>
      </c>
      <c r="DH35" s="36">
        <f ca="1"/>
        <v>5.1437117188981439E-2</v>
      </c>
      <c r="DI35" s="36">
        <f ca="1"/>
        <v>5.1991339239483424E-2</v>
      </c>
      <c r="DJ35" s="36">
        <f ca="1"/>
        <v>5.2939202708094386E-2</v>
      </c>
      <c r="DK35" s="36">
        <f ca="1"/>
        <v>5.3201243839777534E-2</v>
      </c>
      <c r="DL35" s="36">
        <f ca="1"/>
        <v>5.2430931057988281E-2</v>
      </c>
      <c r="DM35" s="36">
        <f ca="1"/>
        <v>5.2500147338305013E-2</v>
      </c>
      <c r="DN35" s="36">
        <f ca="1"/>
        <v>5.2838991583486733E-2</v>
      </c>
      <c r="DO35" s="36">
        <f ca="1"/>
        <v>5.2563085425944477E-2</v>
      </c>
      <c r="DP35" s="36">
        <f ca="1"/>
        <v>5.2428513919102152E-2</v>
      </c>
      <c r="DQ35" s="36">
        <f ca="1"/>
        <v>5.1774346860475953E-2</v>
      </c>
    </row>
    <row r="36" spans="1:121" s="36" customFormat="1" x14ac:dyDescent="0.3"/>
    <row r="37" spans="1:121" s="36" customFormat="1" x14ac:dyDescent="0.3"/>
    <row r="38" spans="1:121" s="36" customFormat="1" x14ac:dyDescent="0.3"/>
    <row r="39" spans="1:121" s="36" customFormat="1" x14ac:dyDescent="0.3"/>
    <row r="40" spans="1:121" s="36" customFormat="1" x14ac:dyDescent="0.3"/>
    <row r="41" spans="1:121" s="36" customFormat="1" x14ac:dyDescent="0.3">
      <c r="A41" s="36" cm="1">
        <f t="array" aca="1" ref="A41:DQ45" ca="1">EXP(_xlfn.ANCHORARRAY(A31))-1</f>
        <v>2.0000000000000018E-2</v>
      </c>
      <c r="B41" s="36">
        <f ca="1"/>
        <v>2.0555615285177575E-2</v>
      </c>
      <c r="C41" s="36">
        <f ca="1"/>
        <v>2.2082894483219428E-2</v>
      </c>
      <c r="D41" s="36">
        <f ca="1"/>
        <v>2.3295972906130835E-2</v>
      </c>
      <c r="E41" s="36">
        <f ca="1"/>
        <v>2.4844572440282375E-2</v>
      </c>
      <c r="F41" s="36">
        <f ca="1"/>
        <v>2.5819443603461112E-2</v>
      </c>
      <c r="G41" s="36">
        <f ca="1"/>
        <v>2.6901956136860417E-2</v>
      </c>
      <c r="H41" s="36">
        <f ca="1"/>
        <v>2.8457633422449558E-2</v>
      </c>
      <c r="I41" s="36">
        <f ca="1"/>
        <v>2.9064331742899796E-2</v>
      </c>
      <c r="J41" s="36">
        <f ca="1"/>
        <v>2.9535240289985554E-2</v>
      </c>
      <c r="K41" s="36">
        <f ca="1"/>
        <v>3.0330970078686459E-2</v>
      </c>
      <c r="L41" s="36">
        <f ca="1"/>
        <v>3.1080221649706363E-2</v>
      </c>
      <c r="M41" s="36">
        <f ca="1"/>
        <v>3.2090451845659285E-2</v>
      </c>
      <c r="N41" s="36">
        <f ca="1"/>
        <v>3.374477103327278E-2</v>
      </c>
      <c r="O41" s="36">
        <f ca="1"/>
        <v>3.5065449643390645E-2</v>
      </c>
      <c r="P41" s="36">
        <f ca="1"/>
        <v>3.4790439973453546E-2</v>
      </c>
      <c r="Q41" s="36">
        <f ca="1"/>
        <v>3.5253408856260604E-2</v>
      </c>
      <c r="R41" s="36">
        <f ca="1"/>
        <v>3.5529154200932389E-2</v>
      </c>
      <c r="S41" s="36">
        <f ca="1"/>
        <v>3.598938931554474E-2</v>
      </c>
      <c r="T41" s="36">
        <f ca="1"/>
        <v>3.658467511344643E-2</v>
      </c>
      <c r="U41" s="36">
        <f ca="1"/>
        <v>3.648503575355222E-2</v>
      </c>
      <c r="V41" s="36">
        <f ca="1"/>
        <v>3.7098409142473532E-2</v>
      </c>
      <c r="W41" s="36">
        <f ca="1"/>
        <v>3.6900777915387151E-2</v>
      </c>
      <c r="X41" s="36">
        <f ca="1"/>
        <v>3.8537817304703736E-2</v>
      </c>
      <c r="Y41" s="36">
        <f ca="1"/>
        <v>3.8221967897154929E-2</v>
      </c>
      <c r="Z41" s="36">
        <f ca="1"/>
        <v>3.8501991604148245E-2</v>
      </c>
      <c r="AA41" s="36">
        <f ca="1"/>
        <v>3.8335799442014595E-2</v>
      </c>
      <c r="AB41" s="36">
        <f ca="1"/>
        <v>3.850901943683116E-2</v>
      </c>
      <c r="AC41" s="36">
        <f ca="1"/>
        <v>3.8824102420810691E-2</v>
      </c>
      <c r="AD41" s="36">
        <f ca="1"/>
        <v>3.8825735851469645E-2</v>
      </c>
      <c r="AE41" s="36">
        <f ca="1"/>
        <v>3.9359222536992977E-2</v>
      </c>
      <c r="AF41" s="36">
        <f ca="1"/>
        <v>3.9862558565518569E-2</v>
      </c>
      <c r="AG41" s="36">
        <f ca="1"/>
        <v>4.0525898213962019E-2</v>
      </c>
      <c r="AH41" s="36">
        <f ca="1"/>
        <v>4.1479983716160795E-2</v>
      </c>
      <c r="AI41" s="36">
        <f ca="1"/>
        <v>4.1551405060306079E-2</v>
      </c>
      <c r="AJ41" s="36">
        <f ca="1"/>
        <v>4.202260125982038E-2</v>
      </c>
      <c r="AK41" s="36">
        <f ca="1"/>
        <v>4.0829416246235262E-2</v>
      </c>
      <c r="AL41" s="36">
        <f ca="1"/>
        <v>4.0880824432584673E-2</v>
      </c>
      <c r="AM41" s="36">
        <f ca="1"/>
        <v>4.0175561927019876E-2</v>
      </c>
      <c r="AN41" s="36">
        <f ca="1"/>
        <v>4.0793976008007826E-2</v>
      </c>
      <c r="AO41" s="36">
        <f ca="1"/>
        <v>4.1646435238640755E-2</v>
      </c>
      <c r="AP41" s="36">
        <f ca="1"/>
        <v>4.2545292234769327E-2</v>
      </c>
      <c r="AQ41" s="36">
        <f ca="1"/>
        <v>4.2609525276446458E-2</v>
      </c>
      <c r="AR41" s="36">
        <f ca="1"/>
        <v>4.3507964945161959E-2</v>
      </c>
      <c r="AS41" s="36">
        <f ca="1"/>
        <v>4.3753492121622495E-2</v>
      </c>
      <c r="AT41" s="36">
        <f ca="1"/>
        <v>4.4897852773200686E-2</v>
      </c>
      <c r="AU41" s="36">
        <f ca="1"/>
        <v>4.4482289730779501E-2</v>
      </c>
      <c r="AV41" s="36">
        <f ca="1"/>
        <v>4.6042501441660777E-2</v>
      </c>
      <c r="AW41" s="36">
        <f ca="1"/>
        <v>4.6861443267634639E-2</v>
      </c>
      <c r="AX41" s="36">
        <f ca="1"/>
        <v>4.7217523875630274E-2</v>
      </c>
      <c r="AY41" s="36">
        <f ca="1"/>
        <v>4.8265625514748889E-2</v>
      </c>
      <c r="AZ41" s="36">
        <f ca="1"/>
        <v>4.7754974622247426E-2</v>
      </c>
      <c r="BA41" s="36">
        <f ca="1"/>
        <v>4.7351373965421661E-2</v>
      </c>
      <c r="BB41" s="36">
        <f ca="1"/>
        <v>4.7230301280824172E-2</v>
      </c>
      <c r="BC41" s="36">
        <f ca="1"/>
        <v>4.8545302108333299E-2</v>
      </c>
      <c r="BD41" s="36">
        <f ca="1"/>
        <v>4.9340773193809806E-2</v>
      </c>
      <c r="BE41" s="36">
        <f ca="1"/>
        <v>4.8089779247102893E-2</v>
      </c>
      <c r="BF41" s="36">
        <f ca="1"/>
        <v>4.9022280723400202E-2</v>
      </c>
      <c r="BG41" s="36">
        <f ca="1"/>
        <v>4.8866622377957025E-2</v>
      </c>
      <c r="BH41" s="36">
        <f ca="1"/>
        <v>4.9312306511740012E-2</v>
      </c>
      <c r="BI41" s="36">
        <f ca="1"/>
        <v>5.0503862123612686E-2</v>
      </c>
      <c r="BJ41" s="36">
        <f ca="1"/>
        <v>5.0429360104173648E-2</v>
      </c>
      <c r="BK41" s="36">
        <f ca="1"/>
        <v>4.9683896884348044E-2</v>
      </c>
      <c r="BL41" s="36">
        <f ca="1"/>
        <v>4.9293469896843023E-2</v>
      </c>
      <c r="BM41" s="36">
        <f ca="1"/>
        <v>4.8583883653158244E-2</v>
      </c>
      <c r="BN41" s="36">
        <f ca="1"/>
        <v>4.9719054414549158E-2</v>
      </c>
      <c r="BO41" s="36">
        <f ca="1"/>
        <v>5.0413709737280321E-2</v>
      </c>
      <c r="BP41" s="36">
        <f ca="1"/>
        <v>4.9579438117418162E-2</v>
      </c>
      <c r="BQ41" s="36">
        <f ca="1"/>
        <v>5.0128070523955293E-2</v>
      </c>
      <c r="BR41" s="36">
        <f ca="1"/>
        <v>4.9844478904986111E-2</v>
      </c>
      <c r="BS41" s="36">
        <f ca="1"/>
        <v>5.0216484109614878E-2</v>
      </c>
      <c r="BT41" s="36">
        <f ca="1"/>
        <v>4.9923967096407562E-2</v>
      </c>
      <c r="BU41" s="36">
        <f ca="1"/>
        <v>4.9937245100733163E-2</v>
      </c>
      <c r="BV41" s="36">
        <f ca="1"/>
        <v>5.1973319917880234E-2</v>
      </c>
      <c r="BW41" s="36">
        <f ca="1"/>
        <v>5.2295719759145154E-2</v>
      </c>
      <c r="BX41" s="36">
        <f ca="1"/>
        <v>5.299194996286638E-2</v>
      </c>
      <c r="BY41" s="36">
        <f ca="1"/>
        <v>5.2989243511830431E-2</v>
      </c>
      <c r="BZ41" s="36">
        <f ca="1"/>
        <v>5.2919456390411845E-2</v>
      </c>
      <c r="CA41" s="36">
        <f ca="1"/>
        <v>5.3489049886052298E-2</v>
      </c>
      <c r="CB41" s="36">
        <f ca="1"/>
        <v>5.1517504830419281E-2</v>
      </c>
      <c r="CC41" s="36">
        <f ca="1"/>
        <v>5.2083686623087377E-2</v>
      </c>
      <c r="CD41" s="36">
        <f ca="1"/>
        <v>5.0974939277893538E-2</v>
      </c>
      <c r="CE41" s="36">
        <f ca="1"/>
        <v>5.0739848906468543E-2</v>
      </c>
      <c r="CF41" s="36">
        <f ca="1"/>
        <v>5.12420717903872E-2</v>
      </c>
      <c r="CG41" s="36">
        <f ca="1"/>
        <v>5.075542911148534E-2</v>
      </c>
      <c r="CH41" s="36">
        <f ca="1"/>
        <v>5.0582916820985924E-2</v>
      </c>
      <c r="CI41" s="36">
        <f ca="1"/>
        <v>5.062558142275142E-2</v>
      </c>
      <c r="CJ41" s="36">
        <f ca="1"/>
        <v>5.0059202392561231E-2</v>
      </c>
      <c r="CK41" s="36">
        <f ca="1"/>
        <v>4.9965224070663172E-2</v>
      </c>
      <c r="CL41" s="36">
        <f ca="1"/>
        <v>5.0153546756296574E-2</v>
      </c>
      <c r="CM41" s="36">
        <f ca="1"/>
        <v>4.9600378886336172E-2</v>
      </c>
      <c r="CN41" s="36">
        <f ca="1"/>
        <v>4.9987760558740657E-2</v>
      </c>
      <c r="CO41" s="36">
        <f ca="1"/>
        <v>5.0047382720678879E-2</v>
      </c>
      <c r="CP41" s="36">
        <f ca="1"/>
        <v>5.0333188096807202E-2</v>
      </c>
      <c r="CQ41" s="36">
        <f ca="1"/>
        <v>5.090826088432121E-2</v>
      </c>
      <c r="CR41" s="36">
        <f ca="1"/>
        <v>5.1355884905870175E-2</v>
      </c>
      <c r="CS41" s="36">
        <f ca="1"/>
        <v>5.1836928806213267E-2</v>
      </c>
      <c r="CT41" s="36">
        <f ca="1"/>
        <v>5.1630162110267053E-2</v>
      </c>
      <c r="CU41" s="36">
        <f ca="1"/>
        <v>5.0778656172764114E-2</v>
      </c>
      <c r="CV41" s="36">
        <f ca="1"/>
        <v>5.0647270887373086E-2</v>
      </c>
      <c r="CW41" s="36">
        <f ca="1"/>
        <v>5.0940648584015591E-2</v>
      </c>
      <c r="CX41" s="36">
        <f ca="1"/>
        <v>5.1623301670622679E-2</v>
      </c>
      <c r="CY41" s="36">
        <f ca="1"/>
        <v>5.0683896094866565E-2</v>
      </c>
      <c r="CZ41" s="36">
        <f ca="1"/>
        <v>5.0508907490865784E-2</v>
      </c>
      <c r="DA41" s="36">
        <f ca="1"/>
        <v>5.0607424787662669E-2</v>
      </c>
      <c r="DB41" s="36">
        <f ca="1"/>
        <v>5.0738851408596908E-2</v>
      </c>
      <c r="DC41" s="36">
        <f ca="1"/>
        <v>5.0625294168256563E-2</v>
      </c>
      <c r="DD41" s="36">
        <f ca="1"/>
        <v>5.0155321651937923E-2</v>
      </c>
      <c r="DE41" s="36">
        <f ca="1"/>
        <v>5.1215775207780867E-2</v>
      </c>
      <c r="DF41" s="36">
        <f ca="1"/>
        <v>5.1566647170447455E-2</v>
      </c>
      <c r="DG41" s="36">
        <f ca="1"/>
        <v>5.1160560072459393E-2</v>
      </c>
      <c r="DH41" s="36">
        <f ca="1"/>
        <v>5.0523678704724739E-2</v>
      </c>
      <c r="DI41" s="36">
        <f ca="1"/>
        <v>4.983879537213598E-2</v>
      </c>
      <c r="DJ41" s="36">
        <f ca="1"/>
        <v>5.0257552709246589E-2</v>
      </c>
      <c r="DK41" s="36">
        <f ca="1"/>
        <v>5.0288275700602014E-2</v>
      </c>
      <c r="DL41" s="36">
        <f ca="1"/>
        <v>5.1194447562488365E-2</v>
      </c>
      <c r="DM41" s="36">
        <f ca="1"/>
        <v>5.0163490070291417E-2</v>
      </c>
      <c r="DN41" s="36">
        <f ca="1"/>
        <v>5.0100005925319602E-2</v>
      </c>
      <c r="DO41" s="36">
        <f ca="1"/>
        <v>5.020357551200072E-2</v>
      </c>
      <c r="DP41" s="36">
        <f ca="1"/>
        <v>4.9560061751713791E-2</v>
      </c>
      <c r="DQ41" s="36">
        <f ca="1"/>
        <v>5.0391583129056006E-2</v>
      </c>
    </row>
    <row r="42" spans="1:121" s="36" customFormat="1" x14ac:dyDescent="0.3">
      <c r="A42" s="36">
        <f ca="1"/>
        <v>2.0000000000000018E-2</v>
      </c>
      <c r="B42" s="36">
        <f ca="1"/>
        <v>2.1489219283787442E-2</v>
      </c>
      <c r="C42" s="36">
        <f ca="1"/>
        <v>2.346383485344461E-2</v>
      </c>
      <c r="D42" s="36">
        <f ca="1"/>
        <v>2.3702142544217875E-2</v>
      </c>
      <c r="E42" s="36">
        <f ca="1"/>
        <v>2.4910083106591152E-2</v>
      </c>
      <c r="F42" s="36">
        <f ca="1"/>
        <v>2.5755174176662843E-2</v>
      </c>
      <c r="G42" s="36">
        <f ca="1"/>
        <v>2.6847241694463175E-2</v>
      </c>
      <c r="H42" s="36">
        <f ca="1"/>
        <v>2.8377864303958056E-2</v>
      </c>
      <c r="I42" s="36">
        <f ca="1"/>
        <v>2.8558533924980978E-2</v>
      </c>
      <c r="J42" s="36">
        <f ca="1"/>
        <v>2.9610545107551012E-2</v>
      </c>
      <c r="K42" s="36">
        <f ca="1"/>
        <v>3.0683741575249446E-2</v>
      </c>
      <c r="L42" s="36">
        <f ca="1"/>
        <v>3.1868048044009223E-2</v>
      </c>
      <c r="M42" s="36">
        <f ca="1"/>
        <v>3.2393257947612719E-2</v>
      </c>
      <c r="N42" s="36">
        <f ca="1"/>
        <v>3.3330876131747234E-2</v>
      </c>
      <c r="O42" s="36">
        <f ca="1"/>
        <v>3.4178753247427363E-2</v>
      </c>
      <c r="P42" s="36">
        <f ca="1"/>
        <v>3.5005161665098372E-2</v>
      </c>
      <c r="Q42" s="36">
        <f ca="1"/>
        <v>3.5538167389010722E-2</v>
      </c>
      <c r="R42" s="36">
        <f ca="1"/>
        <v>3.612198988887183E-2</v>
      </c>
      <c r="S42" s="36">
        <f ca="1"/>
        <v>3.7457991412772618E-2</v>
      </c>
      <c r="T42" s="36">
        <f ca="1"/>
        <v>3.7821840437042731E-2</v>
      </c>
      <c r="U42" s="36">
        <f ca="1"/>
        <v>3.8314461706421055E-2</v>
      </c>
      <c r="V42" s="36">
        <f ca="1"/>
        <v>3.842996506670171E-2</v>
      </c>
      <c r="W42" s="36">
        <f ca="1"/>
        <v>3.877971395996993E-2</v>
      </c>
      <c r="X42" s="36">
        <f ca="1"/>
        <v>3.9030119457674983E-2</v>
      </c>
      <c r="Y42" s="36">
        <f ca="1"/>
        <v>4.0110674893891973E-2</v>
      </c>
      <c r="Z42" s="36">
        <f ca="1"/>
        <v>4.0732727290934578E-2</v>
      </c>
      <c r="AA42" s="36">
        <f ca="1"/>
        <v>4.0441880987303724E-2</v>
      </c>
      <c r="AB42" s="36">
        <f ca="1"/>
        <v>4.181144824208749E-2</v>
      </c>
      <c r="AC42" s="36">
        <f ca="1"/>
        <v>4.2718934230213668E-2</v>
      </c>
      <c r="AD42" s="36">
        <f ca="1"/>
        <v>4.3651090389289493E-2</v>
      </c>
      <c r="AE42" s="36">
        <f ca="1"/>
        <v>4.3841344044750041E-2</v>
      </c>
      <c r="AF42" s="36">
        <f ca="1"/>
        <v>4.334625719552565E-2</v>
      </c>
      <c r="AG42" s="36">
        <f ca="1"/>
        <v>4.3025737463924019E-2</v>
      </c>
      <c r="AH42" s="36">
        <f ca="1"/>
        <v>4.3798350508525763E-2</v>
      </c>
      <c r="AI42" s="36">
        <f ca="1"/>
        <v>4.3613068053352411E-2</v>
      </c>
      <c r="AJ42" s="36">
        <f ca="1"/>
        <v>4.3840850842188583E-2</v>
      </c>
      <c r="AK42" s="36">
        <f ca="1"/>
        <v>4.4143803918691216E-2</v>
      </c>
      <c r="AL42" s="36">
        <f ca="1"/>
        <v>4.5318959188800134E-2</v>
      </c>
      <c r="AM42" s="36">
        <f ca="1"/>
        <v>4.5770749333180927E-2</v>
      </c>
      <c r="AN42" s="36">
        <f ca="1"/>
        <v>4.5451285335949221E-2</v>
      </c>
      <c r="AO42" s="36">
        <f ca="1"/>
        <v>4.6007021208239518E-2</v>
      </c>
      <c r="AP42" s="36">
        <f ca="1"/>
        <v>4.507455968027152E-2</v>
      </c>
      <c r="AQ42" s="36">
        <f ca="1"/>
        <v>4.5302130968456034E-2</v>
      </c>
      <c r="AR42" s="36">
        <f ca="1"/>
        <v>4.4841963875722257E-2</v>
      </c>
      <c r="AS42" s="36">
        <f ca="1"/>
        <v>4.4865274911666475E-2</v>
      </c>
      <c r="AT42" s="36">
        <f ca="1"/>
        <v>4.4217828850716456E-2</v>
      </c>
      <c r="AU42" s="36">
        <f ca="1"/>
        <v>4.3753485987214846E-2</v>
      </c>
      <c r="AV42" s="36">
        <f ca="1"/>
        <v>4.3891038636724167E-2</v>
      </c>
      <c r="AW42" s="36">
        <f ca="1"/>
        <v>4.3482759773177948E-2</v>
      </c>
      <c r="AX42" s="36">
        <f ca="1"/>
        <v>4.4305305106867587E-2</v>
      </c>
      <c r="AY42" s="36">
        <f ca="1"/>
        <v>4.5288916018615621E-2</v>
      </c>
      <c r="AZ42" s="36">
        <f ca="1"/>
        <v>4.5553177543129042E-2</v>
      </c>
      <c r="BA42" s="36">
        <f ca="1"/>
        <v>4.5741393168520883E-2</v>
      </c>
      <c r="BB42" s="36">
        <f ca="1"/>
        <v>4.5708825824704924E-2</v>
      </c>
      <c r="BC42" s="36">
        <f ca="1"/>
        <v>4.6517522493943808E-2</v>
      </c>
      <c r="BD42" s="36">
        <f ca="1"/>
        <v>4.7009830879444658E-2</v>
      </c>
      <c r="BE42" s="36">
        <f ca="1"/>
        <v>4.7193435123713323E-2</v>
      </c>
      <c r="BF42" s="36">
        <f ca="1"/>
        <v>4.6582713931037967E-2</v>
      </c>
      <c r="BG42" s="36">
        <f ca="1"/>
        <v>4.7390533309808358E-2</v>
      </c>
      <c r="BH42" s="36">
        <f ca="1"/>
        <v>4.8784020418786156E-2</v>
      </c>
      <c r="BI42" s="36">
        <f ca="1"/>
        <v>4.8228053491975675E-2</v>
      </c>
      <c r="BJ42" s="36">
        <f ca="1"/>
        <v>4.799703493678753E-2</v>
      </c>
      <c r="BK42" s="36">
        <f ca="1"/>
        <v>4.8430886832662168E-2</v>
      </c>
      <c r="BL42" s="36">
        <f ca="1"/>
        <v>4.9311536116499077E-2</v>
      </c>
      <c r="BM42" s="36">
        <f ca="1"/>
        <v>4.8166497546131115E-2</v>
      </c>
      <c r="BN42" s="36">
        <f ca="1"/>
        <v>4.8527188320328429E-2</v>
      </c>
      <c r="BO42" s="36">
        <f ca="1"/>
        <v>4.7943742020772229E-2</v>
      </c>
      <c r="BP42" s="36">
        <f ca="1"/>
        <v>4.8923876145605449E-2</v>
      </c>
      <c r="BQ42" s="36">
        <f ca="1"/>
        <v>4.9636772621093561E-2</v>
      </c>
      <c r="BR42" s="36">
        <f ca="1"/>
        <v>5.0042396040052228E-2</v>
      </c>
      <c r="BS42" s="36">
        <f ca="1"/>
        <v>5.0606401197625717E-2</v>
      </c>
      <c r="BT42" s="36">
        <f ca="1"/>
        <v>5.0153533182537346E-2</v>
      </c>
      <c r="BU42" s="36">
        <f ca="1"/>
        <v>4.9106062217433522E-2</v>
      </c>
      <c r="BV42" s="36">
        <f ca="1"/>
        <v>4.901050261646156E-2</v>
      </c>
      <c r="BW42" s="36">
        <f ca="1"/>
        <v>4.7518143162885274E-2</v>
      </c>
      <c r="BX42" s="36">
        <f ca="1"/>
        <v>4.7932884185539093E-2</v>
      </c>
      <c r="BY42" s="36">
        <f ca="1"/>
        <v>4.8726203444592331E-2</v>
      </c>
      <c r="BZ42" s="36">
        <f ca="1"/>
        <v>4.8603417927266745E-2</v>
      </c>
      <c r="CA42" s="36">
        <f ca="1"/>
        <v>4.8855718553232119E-2</v>
      </c>
      <c r="CB42" s="36">
        <f ca="1"/>
        <v>4.8903423949908653E-2</v>
      </c>
      <c r="CC42" s="36">
        <f ca="1"/>
        <v>4.981366624991157E-2</v>
      </c>
      <c r="CD42" s="36">
        <f ca="1"/>
        <v>5.1036637487255065E-2</v>
      </c>
      <c r="CE42" s="36">
        <f ca="1"/>
        <v>5.1134760580345384E-2</v>
      </c>
      <c r="CF42" s="36">
        <f ca="1"/>
        <v>5.0505431230170927E-2</v>
      </c>
      <c r="CG42" s="36">
        <f ca="1"/>
        <v>4.9850279516955975E-2</v>
      </c>
      <c r="CH42" s="36">
        <f ca="1"/>
        <v>5.01562826307691E-2</v>
      </c>
      <c r="CI42" s="36">
        <f ca="1"/>
        <v>5.1222241382667733E-2</v>
      </c>
      <c r="CJ42" s="36">
        <f ca="1"/>
        <v>5.0217599245193423E-2</v>
      </c>
      <c r="CK42" s="36">
        <f ca="1"/>
        <v>5.0558728679637177E-2</v>
      </c>
      <c r="CL42" s="36">
        <f ca="1"/>
        <v>5.0257054060242723E-2</v>
      </c>
      <c r="CM42" s="36">
        <f ca="1"/>
        <v>5.006026902249805E-2</v>
      </c>
      <c r="CN42" s="36">
        <f ca="1"/>
        <v>4.9796997268131582E-2</v>
      </c>
      <c r="CO42" s="36">
        <f ca="1"/>
        <v>5.0577995109681861E-2</v>
      </c>
      <c r="CP42" s="36">
        <f ca="1"/>
        <v>5.1293152361284733E-2</v>
      </c>
      <c r="CQ42" s="36">
        <f ca="1"/>
        <v>5.160247168347154E-2</v>
      </c>
      <c r="CR42" s="36">
        <f ca="1"/>
        <v>5.1716562084024087E-2</v>
      </c>
      <c r="CS42" s="36">
        <f ca="1"/>
        <v>5.2560797958078664E-2</v>
      </c>
      <c r="CT42" s="36">
        <f ca="1"/>
        <v>5.2258575367819526E-2</v>
      </c>
      <c r="CU42" s="36">
        <f ca="1"/>
        <v>5.1375515393762505E-2</v>
      </c>
      <c r="CV42" s="36">
        <f ca="1"/>
        <v>5.1587542496706051E-2</v>
      </c>
      <c r="CW42" s="36">
        <f ca="1"/>
        <v>4.9778604592711106E-2</v>
      </c>
      <c r="CX42" s="36">
        <f ca="1"/>
        <v>4.9416641848766263E-2</v>
      </c>
      <c r="CY42" s="36">
        <f ca="1"/>
        <v>5.0386608782751585E-2</v>
      </c>
      <c r="CZ42" s="36">
        <f ca="1"/>
        <v>5.0813865329155217E-2</v>
      </c>
      <c r="DA42" s="36">
        <f ca="1"/>
        <v>5.0617943334923865E-2</v>
      </c>
      <c r="DB42" s="36">
        <f ca="1"/>
        <v>5.0094056711377455E-2</v>
      </c>
      <c r="DC42" s="36">
        <f ca="1"/>
        <v>4.959101994985593E-2</v>
      </c>
      <c r="DD42" s="36">
        <f ca="1"/>
        <v>5.0761463613971713E-2</v>
      </c>
      <c r="DE42" s="36">
        <f ca="1"/>
        <v>5.1497976836696324E-2</v>
      </c>
      <c r="DF42" s="36">
        <f ca="1"/>
        <v>5.0815293560106722E-2</v>
      </c>
      <c r="DG42" s="36">
        <f ca="1"/>
        <v>4.9128828420566206E-2</v>
      </c>
      <c r="DH42" s="36">
        <f ca="1"/>
        <v>4.9505974078102755E-2</v>
      </c>
      <c r="DI42" s="36">
        <f ca="1"/>
        <v>4.9982915414534146E-2</v>
      </c>
      <c r="DJ42" s="36">
        <f ca="1"/>
        <v>4.8563964885056876E-2</v>
      </c>
      <c r="DK42" s="36">
        <f ca="1"/>
        <v>4.832017161196922E-2</v>
      </c>
      <c r="DL42" s="36">
        <f ca="1"/>
        <v>4.8975796634318058E-2</v>
      </c>
      <c r="DM42" s="36">
        <f ca="1"/>
        <v>4.8183744348689439E-2</v>
      </c>
      <c r="DN42" s="36">
        <f ca="1"/>
        <v>4.8556780895909091E-2</v>
      </c>
      <c r="DO42" s="36">
        <f ca="1"/>
        <v>4.9803851277914868E-2</v>
      </c>
      <c r="DP42" s="36">
        <f ca="1"/>
        <v>4.959253529681984E-2</v>
      </c>
      <c r="DQ42" s="36">
        <f ca="1"/>
        <v>5.001234776069774E-2</v>
      </c>
    </row>
    <row r="43" spans="1:121" s="36" customFormat="1" x14ac:dyDescent="0.3">
      <c r="A43" s="36">
        <f ca="1"/>
        <v>2.0000000000000018E-2</v>
      </c>
      <c r="B43" s="36">
        <f ca="1"/>
        <v>2.1105730136473433E-2</v>
      </c>
      <c r="C43" s="36">
        <f ca="1"/>
        <v>2.2204881531797449E-2</v>
      </c>
      <c r="D43" s="36">
        <f ca="1"/>
        <v>2.3544203050700485E-2</v>
      </c>
      <c r="E43" s="36">
        <f ca="1"/>
        <v>2.451813088041721E-2</v>
      </c>
      <c r="F43" s="36">
        <f ca="1"/>
        <v>2.5564024577364064E-2</v>
      </c>
      <c r="G43" s="36">
        <f ca="1"/>
        <v>2.6779835404458385E-2</v>
      </c>
      <c r="H43" s="36">
        <f ca="1"/>
        <v>2.7568046245893374E-2</v>
      </c>
      <c r="I43" s="36">
        <f ca="1"/>
        <v>2.9091049509006206E-2</v>
      </c>
      <c r="J43" s="36">
        <f ca="1"/>
        <v>3.097930019331141E-2</v>
      </c>
      <c r="K43" s="36">
        <f ca="1"/>
        <v>3.2077161425000611E-2</v>
      </c>
      <c r="L43" s="36">
        <f ca="1"/>
        <v>3.3436295945601158E-2</v>
      </c>
      <c r="M43" s="36">
        <f ca="1"/>
        <v>3.3998738001875362E-2</v>
      </c>
      <c r="N43" s="36">
        <f ca="1"/>
        <v>3.390356090855251E-2</v>
      </c>
      <c r="O43" s="36">
        <f ca="1"/>
        <v>3.5284410321037907E-2</v>
      </c>
      <c r="P43" s="36">
        <f ca="1"/>
        <v>3.5421925158803935E-2</v>
      </c>
      <c r="Q43" s="36">
        <f ca="1"/>
        <v>3.5191091606632252E-2</v>
      </c>
      <c r="R43" s="36">
        <f ca="1"/>
        <v>3.5968763371445833E-2</v>
      </c>
      <c r="S43" s="36">
        <f ca="1"/>
        <v>3.5780833384343458E-2</v>
      </c>
      <c r="T43" s="36">
        <f ca="1"/>
        <v>3.6361603036451751E-2</v>
      </c>
      <c r="U43" s="36">
        <f ca="1"/>
        <v>3.7090316038501658E-2</v>
      </c>
      <c r="V43" s="36">
        <f ca="1"/>
        <v>3.9027821440749344E-2</v>
      </c>
      <c r="W43" s="36">
        <f ca="1"/>
        <v>4.0397690084510218E-2</v>
      </c>
      <c r="X43" s="36">
        <f ca="1"/>
        <v>4.1496788035392917E-2</v>
      </c>
      <c r="Y43" s="36">
        <f ca="1"/>
        <v>4.123659416310832E-2</v>
      </c>
      <c r="Z43" s="36">
        <f ca="1"/>
        <v>4.2100450960670832E-2</v>
      </c>
      <c r="AA43" s="36">
        <f ca="1"/>
        <v>4.2794952557800414E-2</v>
      </c>
      <c r="AB43" s="36">
        <f ca="1"/>
        <v>4.3042528813595382E-2</v>
      </c>
      <c r="AC43" s="36">
        <f ca="1"/>
        <v>4.3602356993254654E-2</v>
      </c>
      <c r="AD43" s="36">
        <f ca="1"/>
        <v>4.3980097621368675E-2</v>
      </c>
      <c r="AE43" s="36">
        <f ca="1"/>
        <v>4.4881345828003072E-2</v>
      </c>
      <c r="AF43" s="36">
        <f ca="1"/>
        <v>4.5426561883835648E-2</v>
      </c>
      <c r="AG43" s="36">
        <f ca="1"/>
        <v>4.6500603235805293E-2</v>
      </c>
      <c r="AH43" s="36">
        <f ca="1"/>
        <v>4.5812228300781799E-2</v>
      </c>
      <c r="AI43" s="36">
        <f ca="1"/>
        <v>4.6131223044365788E-2</v>
      </c>
      <c r="AJ43" s="36">
        <f ca="1"/>
        <v>4.693063982099166E-2</v>
      </c>
      <c r="AK43" s="36">
        <f ca="1"/>
        <v>4.6362938914694674E-2</v>
      </c>
      <c r="AL43" s="36">
        <f ca="1"/>
        <v>4.6061737248667578E-2</v>
      </c>
      <c r="AM43" s="36">
        <f ca="1"/>
        <v>4.7040341477360803E-2</v>
      </c>
      <c r="AN43" s="36">
        <f ca="1"/>
        <v>4.7552289927757174E-2</v>
      </c>
      <c r="AO43" s="36">
        <f ca="1"/>
        <v>4.7402399787368044E-2</v>
      </c>
      <c r="AP43" s="36">
        <f ca="1"/>
        <v>4.902090415809579E-2</v>
      </c>
      <c r="AQ43" s="36">
        <f ca="1"/>
        <v>4.9655490574029626E-2</v>
      </c>
      <c r="AR43" s="36">
        <f ca="1"/>
        <v>5.0224226558664098E-2</v>
      </c>
      <c r="AS43" s="36">
        <f ca="1"/>
        <v>5.0055193386229657E-2</v>
      </c>
      <c r="AT43" s="36">
        <f ca="1"/>
        <v>4.9808918754917775E-2</v>
      </c>
      <c r="AU43" s="36">
        <f ca="1"/>
        <v>5.0717741183310183E-2</v>
      </c>
      <c r="AV43" s="36">
        <f ca="1"/>
        <v>5.1711803040711546E-2</v>
      </c>
      <c r="AW43" s="36">
        <f ca="1"/>
        <v>5.0813852369239854E-2</v>
      </c>
      <c r="AX43" s="36">
        <f ca="1"/>
        <v>5.0163010388640572E-2</v>
      </c>
      <c r="AY43" s="36">
        <f ca="1"/>
        <v>5.0741733975124825E-2</v>
      </c>
      <c r="AZ43" s="36">
        <f ca="1"/>
        <v>4.9911591369671049E-2</v>
      </c>
      <c r="BA43" s="36">
        <f ca="1"/>
        <v>5.0249028110052496E-2</v>
      </c>
      <c r="BB43" s="36">
        <f ca="1"/>
        <v>5.0272413208619637E-2</v>
      </c>
      <c r="BC43" s="36">
        <f ca="1"/>
        <v>5.0824742974028503E-2</v>
      </c>
      <c r="BD43" s="36">
        <f ca="1"/>
        <v>5.1062353288733098E-2</v>
      </c>
      <c r="BE43" s="36">
        <f ca="1"/>
        <v>5.0244440184990413E-2</v>
      </c>
      <c r="BF43" s="36">
        <f ca="1"/>
        <v>5.0893185132041774E-2</v>
      </c>
      <c r="BG43" s="36">
        <f ca="1"/>
        <v>5.0529947069283265E-2</v>
      </c>
      <c r="BH43" s="36">
        <f ca="1"/>
        <v>5.0356645264886701E-2</v>
      </c>
      <c r="BI43" s="36">
        <f ca="1"/>
        <v>5.0090718496948572E-2</v>
      </c>
      <c r="BJ43" s="36">
        <f ca="1"/>
        <v>5.0900079458462644E-2</v>
      </c>
      <c r="BK43" s="36">
        <f ca="1"/>
        <v>5.1753386106723642E-2</v>
      </c>
      <c r="BL43" s="36">
        <f ca="1"/>
        <v>5.2569048529250262E-2</v>
      </c>
      <c r="BM43" s="36">
        <f ca="1"/>
        <v>5.3384515062200766E-2</v>
      </c>
      <c r="BN43" s="36">
        <f ca="1"/>
        <v>5.2883724157840817E-2</v>
      </c>
      <c r="BO43" s="36">
        <f ca="1"/>
        <v>5.2239802618113229E-2</v>
      </c>
      <c r="BP43" s="36">
        <f ca="1"/>
        <v>5.2049463004403274E-2</v>
      </c>
      <c r="BQ43" s="36">
        <f ca="1"/>
        <v>5.0548560594366965E-2</v>
      </c>
      <c r="BR43" s="36">
        <f ca="1"/>
        <v>4.9837649791536931E-2</v>
      </c>
      <c r="BS43" s="36">
        <f ca="1"/>
        <v>4.9834470214840554E-2</v>
      </c>
      <c r="BT43" s="36">
        <f ca="1"/>
        <v>4.9486387246828967E-2</v>
      </c>
      <c r="BU43" s="36">
        <f ca="1"/>
        <v>4.9999437770264166E-2</v>
      </c>
      <c r="BV43" s="36">
        <f ca="1"/>
        <v>4.9562627361066092E-2</v>
      </c>
      <c r="BW43" s="36">
        <f ca="1"/>
        <v>4.9553392208402824E-2</v>
      </c>
      <c r="BX43" s="36">
        <f ca="1"/>
        <v>5.0764315201579313E-2</v>
      </c>
      <c r="BY43" s="36">
        <f ca="1"/>
        <v>4.9778501970658473E-2</v>
      </c>
      <c r="BZ43" s="36">
        <f ca="1"/>
        <v>4.9211865072942729E-2</v>
      </c>
      <c r="CA43" s="36">
        <f ca="1"/>
        <v>4.9039432360873603E-2</v>
      </c>
      <c r="CB43" s="36">
        <f ca="1"/>
        <v>4.9579059600578512E-2</v>
      </c>
      <c r="CC43" s="36">
        <f ca="1"/>
        <v>4.9992259210422718E-2</v>
      </c>
      <c r="CD43" s="36">
        <f ca="1"/>
        <v>5.0559519370101835E-2</v>
      </c>
      <c r="CE43" s="36">
        <f ca="1"/>
        <v>5.0168073155719028E-2</v>
      </c>
      <c r="CF43" s="36">
        <f ca="1"/>
        <v>5.100817693723303E-2</v>
      </c>
      <c r="CG43" s="36">
        <f ca="1"/>
        <v>5.0861383843426644E-2</v>
      </c>
      <c r="CH43" s="36">
        <f ca="1"/>
        <v>5.2509205750752574E-2</v>
      </c>
      <c r="CI43" s="36">
        <f ca="1"/>
        <v>5.267237368355504E-2</v>
      </c>
      <c r="CJ43" s="36">
        <f ca="1"/>
        <v>5.2555504841139467E-2</v>
      </c>
      <c r="CK43" s="36">
        <f ca="1"/>
        <v>5.3379160590365737E-2</v>
      </c>
      <c r="CL43" s="36">
        <f ca="1"/>
        <v>5.3375172235916146E-2</v>
      </c>
      <c r="CM43" s="36">
        <f ca="1"/>
        <v>5.2835387255723232E-2</v>
      </c>
      <c r="CN43" s="36">
        <f ca="1"/>
        <v>5.2634507209709636E-2</v>
      </c>
      <c r="CO43" s="36">
        <f ca="1"/>
        <v>5.2874005165073568E-2</v>
      </c>
      <c r="CP43" s="36">
        <f ca="1"/>
        <v>5.4223382656710006E-2</v>
      </c>
      <c r="CQ43" s="36">
        <f ca="1"/>
        <v>5.4501113218811348E-2</v>
      </c>
      <c r="CR43" s="36">
        <f ca="1"/>
        <v>5.5406054741958588E-2</v>
      </c>
      <c r="CS43" s="36">
        <f ca="1"/>
        <v>5.4975235865038385E-2</v>
      </c>
      <c r="CT43" s="36">
        <f ca="1"/>
        <v>5.5031377752577049E-2</v>
      </c>
      <c r="CU43" s="36">
        <f ca="1"/>
        <v>5.4254905804076659E-2</v>
      </c>
      <c r="CV43" s="36">
        <f ca="1"/>
        <v>5.3772702655145554E-2</v>
      </c>
      <c r="CW43" s="36">
        <f ca="1"/>
        <v>5.3819577678039909E-2</v>
      </c>
      <c r="CX43" s="36">
        <f ca="1"/>
        <v>5.2886180805287175E-2</v>
      </c>
      <c r="CY43" s="36">
        <f ca="1"/>
        <v>5.2152094191171061E-2</v>
      </c>
      <c r="CZ43" s="36">
        <f ca="1"/>
        <v>5.2531615995260905E-2</v>
      </c>
      <c r="DA43" s="36">
        <f ca="1"/>
        <v>5.2606242502792666E-2</v>
      </c>
      <c r="DB43" s="36">
        <f ca="1"/>
        <v>5.15371973563723E-2</v>
      </c>
      <c r="DC43" s="36">
        <f ca="1"/>
        <v>5.2250330518585963E-2</v>
      </c>
      <c r="DD43" s="36">
        <f ca="1"/>
        <v>5.1407541379370425E-2</v>
      </c>
      <c r="DE43" s="36">
        <f ca="1"/>
        <v>5.1701536691677763E-2</v>
      </c>
      <c r="DF43" s="36">
        <f ca="1"/>
        <v>5.0756935922650959E-2</v>
      </c>
      <c r="DG43" s="36">
        <f ca="1"/>
        <v>5.0779029185233693E-2</v>
      </c>
      <c r="DH43" s="36">
        <f ca="1"/>
        <v>5.083648771988436E-2</v>
      </c>
      <c r="DI43" s="36">
        <f ca="1"/>
        <v>5.135154412902132E-2</v>
      </c>
      <c r="DJ43" s="36">
        <f ca="1"/>
        <v>5.2362525944557481E-2</v>
      </c>
      <c r="DK43" s="36">
        <f ca="1"/>
        <v>5.2449598192089386E-2</v>
      </c>
      <c r="DL43" s="36">
        <f ca="1"/>
        <v>5.3283529161068266E-2</v>
      </c>
      <c r="DM43" s="36">
        <f ca="1"/>
        <v>5.3896612763237872E-2</v>
      </c>
      <c r="DN43" s="36">
        <f ca="1"/>
        <v>5.3324133255690631E-2</v>
      </c>
      <c r="DO43" s="36">
        <f ca="1"/>
        <v>5.4980337626031384E-2</v>
      </c>
      <c r="DP43" s="36">
        <f ca="1"/>
        <v>5.3964356174678985E-2</v>
      </c>
      <c r="DQ43" s="36">
        <f ca="1"/>
        <v>5.3151304728273008E-2</v>
      </c>
    </row>
    <row r="44" spans="1:121" s="36" customFormat="1" x14ac:dyDescent="0.3">
      <c r="A44" s="36">
        <f ca="1"/>
        <v>2.0000000000000018E-2</v>
      </c>
      <c r="B44" s="36">
        <f ca="1"/>
        <v>2.1209618271325947E-2</v>
      </c>
      <c r="C44" s="36">
        <f ca="1"/>
        <v>2.2731539466287698E-2</v>
      </c>
      <c r="D44" s="36">
        <f ca="1"/>
        <v>2.3906444096028823E-2</v>
      </c>
      <c r="E44" s="36">
        <f ca="1"/>
        <v>2.4583068675094522E-2</v>
      </c>
      <c r="F44" s="36">
        <f ca="1"/>
        <v>2.6057018375839958E-2</v>
      </c>
      <c r="G44" s="36">
        <f ca="1"/>
        <v>2.697977002951224E-2</v>
      </c>
      <c r="H44" s="36">
        <f ca="1"/>
        <v>2.8479896788333514E-2</v>
      </c>
      <c r="I44" s="36">
        <f ca="1"/>
        <v>2.9536419813702031E-2</v>
      </c>
      <c r="J44" s="36">
        <f ca="1"/>
        <v>3.0793468123625711E-2</v>
      </c>
      <c r="K44" s="36">
        <f ca="1"/>
        <v>3.0765254167322231E-2</v>
      </c>
      <c r="L44" s="36">
        <f ca="1"/>
        <v>3.2026468085549986E-2</v>
      </c>
      <c r="M44" s="36">
        <f ca="1"/>
        <v>3.3904107602000133E-2</v>
      </c>
      <c r="N44" s="36">
        <f ca="1"/>
        <v>3.4063842941654654E-2</v>
      </c>
      <c r="O44" s="36">
        <f ca="1"/>
        <v>3.4177893608140719E-2</v>
      </c>
      <c r="P44" s="36">
        <f ca="1"/>
        <v>3.5276136323966423E-2</v>
      </c>
      <c r="Q44" s="36">
        <f ca="1"/>
        <v>3.6491453189581691E-2</v>
      </c>
      <c r="R44" s="36">
        <f ca="1"/>
        <v>3.7535303630112482E-2</v>
      </c>
      <c r="S44" s="36">
        <f ca="1"/>
        <v>3.7804794145553489E-2</v>
      </c>
      <c r="T44" s="36">
        <f ca="1"/>
        <v>3.8762935424112133E-2</v>
      </c>
      <c r="U44" s="36">
        <f ca="1"/>
        <v>3.9178771665074441E-2</v>
      </c>
      <c r="V44" s="36">
        <f ca="1"/>
        <v>4.054993773706328E-2</v>
      </c>
      <c r="W44" s="36">
        <f ca="1"/>
        <v>4.068676240921465E-2</v>
      </c>
      <c r="X44" s="36">
        <f ca="1"/>
        <v>4.0631708149759582E-2</v>
      </c>
      <c r="Y44" s="36">
        <f ca="1"/>
        <v>4.0799720234853787E-2</v>
      </c>
      <c r="Z44" s="36">
        <f ca="1"/>
        <v>4.2179072703001141E-2</v>
      </c>
      <c r="AA44" s="36">
        <f ca="1"/>
        <v>4.1732406793071553E-2</v>
      </c>
      <c r="AB44" s="36">
        <f ca="1"/>
        <v>4.235443264247607E-2</v>
      </c>
      <c r="AC44" s="36">
        <f ca="1"/>
        <v>4.2716050705686515E-2</v>
      </c>
      <c r="AD44" s="36">
        <f ca="1"/>
        <v>4.3201549231409286E-2</v>
      </c>
      <c r="AE44" s="36">
        <f ca="1"/>
        <v>4.4584928985192063E-2</v>
      </c>
      <c r="AF44" s="36">
        <f ca="1"/>
        <v>4.5064069789111372E-2</v>
      </c>
      <c r="AG44" s="36">
        <f ca="1"/>
        <v>4.4837229545419799E-2</v>
      </c>
      <c r="AH44" s="36">
        <f ca="1"/>
        <v>4.4891528018525584E-2</v>
      </c>
      <c r="AI44" s="36">
        <f ca="1"/>
        <v>4.420061782977891E-2</v>
      </c>
      <c r="AJ44" s="36">
        <f ca="1"/>
        <v>4.3706790268737139E-2</v>
      </c>
      <c r="AK44" s="36">
        <f ca="1"/>
        <v>4.378765498127235E-2</v>
      </c>
      <c r="AL44" s="36">
        <f ca="1"/>
        <v>4.4657909436429666E-2</v>
      </c>
      <c r="AM44" s="36">
        <f ca="1"/>
        <v>4.6671092607353915E-2</v>
      </c>
      <c r="AN44" s="36">
        <f ca="1"/>
        <v>4.8065494128343156E-2</v>
      </c>
      <c r="AO44" s="36">
        <f ca="1"/>
        <v>4.747712389187142E-2</v>
      </c>
      <c r="AP44" s="36">
        <f ca="1"/>
        <v>4.6834731005596097E-2</v>
      </c>
      <c r="AQ44" s="36">
        <f ca="1"/>
        <v>4.7946877143363764E-2</v>
      </c>
      <c r="AR44" s="36">
        <f ca="1"/>
        <v>4.8665142669658268E-2</v>
      </c>
      <c r="AS44" s="36">
        <f ca="1"/>
        <v>4.7955903720358073E-2</v>
      </c>
      <c r="AT44" s="36">
        <f ca="1"/>
        <v>4.7949279753248364E-2</v>
      </c>
      <c r="AU44" s="36">
        <f ca="1"/>
        <v>4.817731845568396E-2</v>
      </c>
      <c r="AV44" s="36">
        <f ca="1"/>
        <v>4.8257054166456426E-2</v>
      </c>
      <c r="AW44" s="36">
        <f ca="1"/>
        <v>4.7108843333177219E-2</v>
      </c>
      <c r="AX44" s="36">
        <f ca="1"/>
        <v>4.6535600132874277E-2</v>
      </c>
      <c r="AY44" s="36">
        <f ca="1"/>
        <v>4.7032337337949093E-2</v>
      </c>
      <c r="AZ44" s="36">
        <f ca="1"/>
        <v>4.7520145866080776E-2</v>
      </c>
      <c r="BA44" s="36">
        <f ca="1"/>
        <v>4.7084334300588004E-2</v>
      </c>
      <c r="BB44" s="36">
        <f ca="1"/>
        <v>4.7722863809881666E-2</v>
      </c>
      <c r="BC44" s="36">
        <f ca="1"/>
        <v>4.7953748166087884E-2</v>
      </c>
      <c r="BD44" s="36">
        <f ca="1"/>
        <v>4.7218005717926337E-2</v>
      </c>
      <c r="BE44" s="36">
        <f ca="1"/>
        <v>4.824123083487053E-2</v>
      </c>
      <c r="BF44" s="36">
        <f ca="1"/>
        <v>4.7775841903553218E-2</v>
      </c>
      <c r="BG44" s="36">
        <f ca="1"/>
        <v>4.703347568073335E-2</v>
      </c>
      <c r="BH44" s="36">
        <f ca="1"/>
        <v>4.7079851671148587E-2</v>
      </c>
      <c r="BI44" s="36">
        <f ca="1"/>
        <v>4.7593879012138185E-2</v>
      </c>
      <c r="BJ44" s="36">
        <f ca="1"/>
        <v>4.7867097824088489E-2</v>
      </c>
      <c r="BK44" s="36">
        <f ca="1"/>
        <v>4.7408104032524268E-2</v>
      </c>
      <c r="BL44" s="36">
        <f ca="1"/>
        <v>4.6479767481050649E-2</v>
      </c>
      <c r="BM44" s="36">
        <f ca="1"/>
        <v>4.6524640886598023E-2</v>
      </c>
      <c r="BN44" s="36">
        <f ca="1"/>
        <v>4.6750403067564728E-2</v>
      </c>
      <c r="BO44" s="36">
        <f ca="1"/>
        <v>4.6724553747360842E-2</v>
      </c>
      <c r="BP44" s="36">
        <f ca="1"/>
        <v>4.7004188150720383E-2</v>
      </c>
      <c r="BQ44" s="36">
        <f ca="1"/>
        <v>4.7331570184431015E-2</v>
      </c>
      <c r="BR44" s="36">
        <f ca="1"/>
        <v>4.7186481979848205E-2</v>
      </c>
      <c r="BS44" s="36">
        <f ca="1"/>
        <v>4.7466692462267757E-2</v>
      </c>
      <c r="BT44" s="36">
        <f ca="1"/>
        <v>4.765936384874081E-2</v>
      </c>
      <c r="BU44" s="36">
        <f ca="1"/>
        <v>4.7935256525984071E-2</v>
      </c>
      <c r="BV44" s="36">
        <f ca="1"/>
        <v>4.7629610082538854E-2</v>
      </c>
      <c r="BW44" s="36">
        <f ca="1"/>
        <v>4.7002539816463074E-2</v>
      </c>
      <c r="BX44" s="36">
        <f ca="1"/>
        <v>4.7894019318338144E-2</v>
      </c>
      <c r="BY44" s="36">
        <f ca="1"/>
        <v>4.7023566113101101E-2</v>
      </c>
      <c r="BZ44" s="36">
        <f ca="1"/>
        <v>4.7509797687930844E-2</v>
      </c>
      <c r="CA44" s="36">
        <f ca="1"/>
        <v>4.7493609720658414E-2</v>
      </c>
      <c r="CB44" s="36">
        <f ca="1"/>
        <v>4.8581998420066164E-2</v>
      </c>
      <c r="CC44" s="36">
        <f ca="1"/>
        <v>4.9877357809465561E-2</v>
      </c>
      <c r="CD44" s="36">
        <f ca="1"/>
        <v>4.9260255934141739E-2</v>
      </c>
      <c r="CE44" s="36">
        <f ca="1"/>
        <v>4.7974147234892683E-2</v>
      </c>
      <c r="CF44" s="36">
        <f ca="1"/>
        <v>4.7578085402357528E-2</v>
      </c>
      <c r="CG44" s="36">
        <f ca="1"/>
        <v>4.7835233399038168E-2</v>
      </c>
      <c r="CH44" s="36">
        <f ca="1"/>
        <v>4.8153414619691359E-2</v>
      </c>
      <c r="CI44" s="36">
        <f ca="1"/>
        <v>4.7221558691907584E-2</v>
      </c>
      <c r="CJ44" s="36">
        <f ca="1"/>
        <v>4.7525522255595254E-2</v>
      </c>
      <c r="CK44" s="36">
        <f ca="1"/>
        <v>4.9225446251016214E-2</v>
      </c>
      <c r="CL44" s="36">
        <f ca="1"/>
        <v>4.9011354989386691E-2</v>
      </c>
      <c r="CM44" s="36">
        <f ca="1"/>
        <v>4.956245900785361E-2</v>
      </c>
      <c r="CN44" s="36">
        <f ca="1"/>
        <v>4.9669156738770592E-2</v>
      </c>
      <c r="CO44" s="36">
        <f ca="1"/>
        <v>5.0703389647368979E-2</v>
      </c>
      <c r="CP44" s="36">
        <f ca="1"/>
        <v>5.0275319740513247E-2</v>
      </c>
      <c r="CQ44" s="36">
        <f ca="1"/>
        <v>5.0196234916338733E-2</v>
      </c>
      <c r="CR44" s="36">
        <f ca="1"/>
        <v>5.0356880509989654E-2</v>
      </c>
      <c r="CS44" s="36">
        <f ca="1"/>
        <v>4.9771634524695685E-2</v>
      </c>
      <c r="CT44" s="36">
        <f ca="1"/>
        <v>4.9795049116808876E-2</v>
      </c>
      <c r="CU44" s="36">
        <f ca="1"/>
        <v>4.9227221584132286E-2</v>
      </c>
      <c r="CV44" s="36">
        <f ca="1"/>
        <v>4.9456776053318219E-2</v>
      </c>
      <c r="CW44" s="36">
        <f ca="1"/>
        <v>5.0087273962645451E-2</v>
      </c>
      <c r="CX44" s="36">
        <f ca="1"/>
        <v>5.0549441934196748E-2</v>
      </c>
      <c r="CY44" s="36">
        <f ca="1"/>
        <v>5.1654454741424161E-2</v>
      </c>
      <c r="CZ44" s="36">
        <f ca="1"/>
        <v>5.2324117318746755E-2</v>
      </c>
      <c r="DA44" s="36">
        <f ca="1"/>
        <v>5.1613493875333427E-2</v>
      </c>
      <c r="DB44" s="36">
        <f ca="1"/>
        <v>5.358525623345578E-2</v>
      </c>
      <c r="DC44" s="36">
        <f ca="1"/>
        <v>5.3926311000038307E-2</v>
      </c>
      <c r="DD44" s="36">
        <f ca="1"/>
        <v>5.3749001264195462E-2</v>
      </c>
      <c r="DE44" s="36">
        <f ca="1"/>
        <v>5.3875713300718608E-2</v>
      </c>
      <c r="DF44" s="36">
        <f ca="1"/>
        <v>5.4299266768765841E-2</v>
      </c>
      <c r="DG44" s="36">
        <f ca="1"/>
        <v>5.3289922855733529E-2</v>
      </c>
      <c r="DH44" s="36">
        <f ca="1"/>
        <v>5.2570134813711311E-2</v>
      </c>
      <c r="DI44" s="36">
        <f ca="1"/>
        <v>5.2699697023621983E-2</v>
      </c>
      <c r="DJ44" s="36">
        <f ca="1"/>
        <v>5.325984300619524E-2</v>
      </c>
      <c r="DK44" s="36">
        <f ca="1"/>
        <v>5.4277288310195848E-2</v>
      </c>
      <c r="DL44" s="36">
        <f ca="1"/>
        <v>5.3703585177142577E-2</v>
      </c>
      <c r="DM44" s="36">
        <f ca="1"/>
        <v>5.3033679231797137E-2</v>
      </c>
      <c r="DN44" s="36">
        <f ca="1"/>
        <v>5.2575765340144409E-2</v>
      </c>
      <c r="DO44" s="36">
        <f ca="1"/>
        <v>5.2189555922817599E-2</v>
      </c>
      <c r="DP44" s="36">
        <f ca="1"/>
        <v>5.2217815551513613E-2</v>
      </c>
      <c r="DQ44" s="36">
        <f ca="1"/>
        <v>5.241013377935988E-2</v>
      </c>
    </row>
    <row r="45" spans="1:121" s="36" customFormat="1" x14ac:dyDescent="0.3">
      <c r="A45" s="36">
        <f ca="1"/>
        <v>2.0000000000000018E-2</v>
      </c>
      <c r="B45" s="36">
        <f ca="1"/>
        <v>2.1528600988171664E-2</v>
      </c>
      <c r="C45" s="36">
        <f ca="1"/>
        <v>2.2648351115434062E-2</v>
      </c>
      <c r="D45" s="36">
        <f ca="1"/>
        <v>2.3927377096317315E-2</v>
      </c>
      <c r="E45" s="36">
        <f ca="1"/>
        <v>2.5742909164666372E-2</v>
      </c>
      <c r="F45" s="36">
        <f ca="1"/>
        <v>2.7201363296545988E-2</v>
      </c>
      <c r="G45" s="36">
        <f ca="1"/>
        <v>2.8202860308877753E-2</v>
      </c>
      <c r="H45" s="36">
        <f ca="1"/>
        <v>2.8566944315786102E-2</v>
      </c>
      <c r="I45" s="36">
        <f ca="1"/>
        <v>2.9071320373155851E-2</v>
      </c>
      <c r="J45" s="36">
        <f ca="1"/>
        <v>3.0072555023471059E-2</v>
      </c>
      <c r="K45" s="36">
        <f ca="1"/>
        <v>3.1207196425865114E-2</v>
      </c>
      <c r="L45" s="36">
        <f ca="1"/>
        <v>3.1198004428351966E-2</v>
      </c>
      <c r="M45" s="36">
        <f ca="1"/>
        <v>3.2802702942080098E-2</v>
      </c>
      <c r="N45" s="36">
        <f ca="1"/>
        <v>3.3395000104277095E-2</v>
      </c>
      <c r="O45" s="36">
        <f ca="1"/>
        <v>3.5398844311885114E-2</v>
      </c>
      <c r="P45" s="36">
        <f ca="1"/>
        <v>3.5213478534552811E-2</v>
      </c>
      <c r="Q45" s="36">
        <f ca="1"/>
        <v>3.6557906074648816E-2</v>
      </c>
      <c r="R45" s="36">
        <f ca="1"/>
        <v>3.7305364710717326E-2</v>
      </c>
      <c r="S45" s="36">
        <f ca="1"/>
        <v>3.7422675805625305E-2</v>
      </c>
      <c r="T45" s="36">
        <f ca="1"/>
        <v>3.8849033728620697E-2</v>
      </c>
      <c r="U45" s="36">
        <f ca="1"/>
        <v>3.8616343983173262E-2</v>
      </c>
      <c r="V45" s="36">
        <f ca="1"/>
        <v>3.9038603097735658E-2</v>
      </c>
      <c r="W45" s="36">
        <f ca="1"/>
        <v>3.9393172548575661E-2</v>
      </c>
      <c r="X45" s="36">
        <f ca="1"/>
        <v>3.9802882966508912E-2</v>
      </c>
      <c r="Y45" s="36">
        <f ca="1"/>
        <v>3.9746036748588676E-2</v>
      </c>
      <c r="Z45" s="36">
        <f ca="1"/>
        <v>4.0908703268123903E-2</v>
      </c>
      <c r="AA45" s="36">
        <f ca="1"/>
        <v>4.257905443271337E-2</v>
      </c>
      <c r="AB45" s="36">
        <f ca="1"/>
        <v>4.3109855673131081E-2</v>
      </c>
      <c r="AC45" s="36">
        <f ca="1"/>
        <v>4.3118670680606375E-2</v>
      </c>
      <c r="AD45" s="36">
        <f ca="1"/>
        <v>4.4655775092907968E-2</v>
      </c>
      <c r="AE45" s="36">
        <f ca="1"/>
        <v>4.5401707605557506E-2</v>
      </c>
      <c r="AF45" s="36">
        <f ca="1"/>
        <v>4.6473225596721957E-2</v>
      </c>
      <c r="AG45" s="36">
        <f ca="1"/>
        <v>4.6711576081262418E-2</v>
      </c>
      <c r="AH45" s="36">
        <f ca="1"/>
        <v>4.6829186422321589E-2</v>
      </c>
      <c r="AI45" s="36">
        <f ca="1"/>
        <v>4.6344097999977851E-2</v>
      </c>
      <c r="AJ45" s="36">
        <f ca="1"/>
        <v>4.6384570153298332E-2</v>
      </c>
      <c r="AK45" s="36">
        <f ca="1"/>
        <v>4.5952060851400134E-2</v>
      </c>
      <c r="AL45" s="36">
        <f ca="1"/>
        <v>4.5613578867590876E-2</v>
      </c>
      <c r="AM45" s="36">
        <f ca="1"/>
        <v>4.5424160985939821E-2</v>
      </c>
      <c r="AN45" s="36">
        <f ca="1"/>
        <v>4.5524990783704755E-2</v>
      </c>
      <c r="AO45" s="36">
        <f ca="1"/>
        <v>4.5462847866628353E-2</v>
      </c>
      <c r="AP45" s="36">
        <f ca="1"/>
        <v>4.6027965955145689E-2</v>
      </c>
      <c r="AQ45" s="36">
        <f ca="1"/>
        <v>4.6215600796458478E-2</v>
      </c>
      <c r="AR45" s="36">
        <f ca="1"/>
        <v>4.6455887844143673E-2</v>
      </c>
      <c r="AS45" s="36">
        <f ca="1"/>
        <v>4.591534857309032E-2</v>
      </c>
      <c r="AT45" s="36">
        <f ca="1"/>
        <v>4.6758644422278728E-2</v>
      </c>
      <c r="AU45" s="36">
        <f ca="1"/>
        <v>4.7137943725603648E-2</v>
      </c>
      <c r="AV45" s="36">
        <f ca="1"/>
        <v>4.6887616758782391E-2</v>
      </c>
      <c r="AW45" s="36">
        <f ca="1"/>
        <v>4.7135746756589603E-2</v>
      </c>
      <c r="AX45" s="36">
        <f ca="1"/>
        <v>4.7232828088338952E-2</v>
      </c>
      <c r="AY45" s="36">
        <f ca="1"/>
        <v>4.763196416038129E-2</v>
      </c>
      <c r="AZ45" s="36">
        <f ca="1"/>
        <v>4.7508503661323864E-2</v>
      </c>
      <c r="BA45" s="36">
        <f ca="1"/>
        <v>4.8228416372954719E-2</v>
      </c>
      <c r="BB45" s="36">
        <f ca="1"/>
        <v>4.7167903084379237E-2</v>
      </c>
      <c r="BC45" s="36">
        <f ca="1"/>
        <v>4.7244818913014575E-2</v>
      </c>
      <c r="BD45" s="36">
        <f ca="1"/>
        <v>4.7042988163325417E-2</v>
      </c>
      <c r="BE45" s="36">
        <f ca="1"/>
        <v>4.6215673678418057E-2</v>
      </c>
      <c r="BF45" s="36">
        <f ca="1"/>
        <v>4.7080877708668867E-2</v>
      </c>
      <c r="BG45" s="36">
        <f ca="1"/>
        <v>4.7178808564385166E-2</v>
      </c>
      <c r="BH45" s="36">
        <f ca="1"/>
        <v>4.678549842906965E-2</v>
      </c>
      <c r="BI45" s="36">
        <f ca="1"/>
        <v>4.8733976170505011E-2</v>
      </c>
      <c r="BJ45" s="36">
        <f ca="1"/>
        <v>4.8327028845936759E-2</v>
      </c>
      <c r="BK45" s="36">
        <f ca="1"/>
        <v>4.775956318601926E-2</v>
      </c>
      <c r="BL45" s="36">
        <f ca="1"/>
        <v>4.7664683752919101E-2</v>
      </c>
      <c r="BM45" s="36">
        <f ca="1"/>
        <v>4.709671300108309E-2</v>
      </c>
      <c r="BN45" s="36">
        <f ca="1"/>
        <v>4.7028762602183249E-2</v>
      </c>
      <c r="BO45" s="36">
        <f ca="1"/>
        <v>4.6669224612582383E-2</v>
      </c>
      <c r="BP45" s="36">
        <f ca="1"/>
        <v>4.6384115450587737E-2</v>
      </c>
      <c r="BQ45" s="36">
        <f ca="1"/>
        <v>4.5262785341690259E-2</v>
      </c>
      <c r="BR45" s="36">
        <f ca="1"/>
        <v>4.5040468884194773E-2</v>
      </c>
      <c r="BS45" s="36">
        <f ca="1"/>
        <v>4.4671268381195395E-2</v>
      </c>
      <c r="BT45" s="36">
        <f ca="1"/>
        <v>4.5077932793829545E-2</v>
      </c>
      <c r="BU45" s="36">
        <f ca="1"/>
        <v>4.4419225599912959E-2</v>
      </c>
      <c r="BV45" s="36">
        <f ca="1"/>
        <v>4.4868371874280832E-2</v>
      </c>
      <c r="BW45" s="36">
        <f ca="1"/>
        <v>4.6004508326634497E-2</v>
      </c>
      <c r="BX45" s="36">
        <f ca="1"/>
        <v>4.5156816994377236E-2</v>
      </c>
      <c r="BY45" s="36">
        <f ca="1"/>
        <v>4.6098371546676509E-2</v>
      </c>
      <c r="BZ45" s="36">
        <f ca="1"/>
        <v>4.5662506436355832E-2</v>
      </c>
      <c r="CA45" s="36">
        <f ca="1"/>
        <v>4.5310600111347021E-2</v>
      </c>
      <c r="CB45" s="36">
        <f ca="1"/>
        <v>4.721885084819899E-2</v>
      </c>
      <c r="CC45" s="36">
        <f ca="1"/>
        <v>4.7499373693508762E-2</v>
      </c>
      <c r="CD45" s="36">
        <f ca="1"/>
        <v>4.8013955560749944E-2</v>
      </c>
      <c r="CE45" s="36">
        <f ca="1"/>
        <v>4.8878244936209292E-2</v>
      </c>
      <c r="CF45" s="36">
        <f ca="1"/>
        <v>4.9923664437562909E-2</v>
      </c>
      <c r="CG45" s="36">
        <f ca="1"/>
        <v>5.0324778119825719E-2</v>
      </c>
      <c r="CH45" s="36">
        <f ca="1"/>
        <v>4.9256358870907846E-2</v>
      </c>
      <c r="CI45" s="36">
        <f ca="1"/>
        <v>4.9590003016648954E-2</v>
      </c>
      <c r="CJ45" s="36">
        <f ca="1"/>
        <v>4.9184918837874347E-2</v>
      </c>
      <c r="CK45" s="36">
        <f ca="1"/>
        <v>5.0683437021206146E-2</v>
      </c>
      <c r="CL45" s="36">
        <f ca="1"/>
        <v>5.036617309169289E-2</v>
      </c>
      <c r="CM45" s="36">
        <f ca="1"/>
        <v>4.9259653800072023E-2</v>
      </c>
      <c r="CN45" s="36">
        <f ca="1"/>
        <v>4.9274551048942961E-2</v>
      </c>
      <c r="CO45" s="36">
        <f ca="1"/>
        <v>4.9506625314533093E-2</v>
      </c>
      <c r="CP45" s="36">
        <f ca="1"/>
        <v>4.9860946649862958E-2</v>
      </c>
      <c r="CQ45" s="36">
        <f ca="1"/>
        <v>4.9983782011989719E-2</v>
      </c>
      <c r="CR45" s="36">
        <f ca="1"/>
        <v>4.9984829438856293E-2</v>
      </c>
      <c r="CS45" s="36">
        <f ca="1"/>
        <v>5.0250249808544867E-2</v>
      </c>
      <c r="CT45" s="36">
        <f ca="1"/>
        <v>4.9872142427570765E-2</v>
      </c>
      <c r="CU45" s="36">
        <f ca="1"/>
        <v>4.9790532108100694E-2</v>
      </c>
      <c r="CV45" s="36">
        <f ca="1"/>
        <v>4.9974545591895181E-2</v>
      </c>
      <c r="CW45" s="36">
        <f ca="1"/>
        <v>5.0529840746815324E-2</v>
      </c>
      <c r="CX45" s="36">
        <f ca="1"/>
        <v>5.027418699101438E-2</v>
      </c>
      <c r="CY45" s="36">
        <f ca="1"/>
        <v>5.0366238560502152E-2</v>
      </c>
      <c r="CZ45" s="36">
        <f ca="1"/>
        <v>5.1433236692260742E-2</v>
      </c>
      <c r="DA45" s="36">
        <f ca="1"/>
        <v>5.3147970359973984E-2</v>
      </c>
      <c r="DB45" s="36">
        <f ca="1"/>
        <v>5.3444572050208139E-2</v>
      </c>
      <c r="DC45" s="36">
        <f ca="1"/>
        <v>5.4416935136517353E-2</v>
      </c>
      <c r="DD45" s="36">
        <f ca="1"/>
        <v>5.4367787647980892E-2</v>
      </c>
      <c r="DE45" s="36">
        <f ca="1"/>
        <v>5.3195894897928531E-2</v>
      </c>
      <c r="DF45" s="36">
        <f ca="1"/>
        <v>5.3315241776996203E-2</v>
      </c>
      <c r="DG45" s="36">
        <f ca="1"/>
        <v>5.347557076987064E-2</v>
      </c>
      <c r="DH45" s="36">
        <f ca="1"/>
        <v>5.2782982257290278E-2</v>
      </c>
      <c r="DI45" s="36">
        <f ca="1"/>
        <v>5.336661951783106E-2</v>
      </c>
      <c r="DJ45" s="36">
        <f ca="1"/>
        <v>5.4365540601137852E-2</v>
      </c>
      <c r="DK45" s="36">
        <f ca="1"/>
        <v>5.464186394306414E-2</v>
      </c>
      <c r="DL45" s="36">
        <f ca="1"/>
        <v>5.3829772657364217E-2</v>
      </c>
      <c r="DM45" s="36">
        <f ca="1"/>
        <v>5.3902717358765839E-2</v>
      </c>
      <c r="DN45" s="36">
        <f ca="1"/>
        <v>5.4259886738501351E-2</v>
      </c>
      <c r="DO45" s="36">
        <f ca="1"/>
        <v>5.396905006775965E-2</v>
      </c>
      <c r="DP45" s="36">
        <f ca="1"/>
        <v>5.382722540751983E-2</v>
      </c>
      <c r="DQ45" s="36">
        <f ca="1"/>
        <v>5.3138071786549501E-2</v>
      </c>
    </row>
    <row r="46" spans="1:121" s="36" customFormat="1" x14ac:dyDescent="0.3"/>
    <row r="47" spans="1:121" s="36" customFormat="1" x14ac:dyDescent="0.3"/>
    <row r="48" spans="1:121" s="36" customFormat="1" x14ac:dyDescent="0.3"/>
    <row r="49" spans="1:121" s="36" customFormat="1" x14ac:dyDescent="0.3"/>
    <row r="50" spans="1:121" s="36" customFormat="1" x14ac:dyDescent="0.3"/>
    <row r="51" spans="1:121" s="37" customFormat="1" x14ac:dyDescent="0.3">
      <c r="A51" s="37" cm="1">
        <f t="array" aca="1" ref="A51:DQ55" ca="1">_xlfn.LET(
  _xlpm.a, B6, _xlpm.b, B7, _xlpm.s, B8, _xlpm.h, SQRT(_xlpm.a^2 + 2*_xlpm.s^2),
  _xlfn.MAP(_xlfn.ANCHORARRAY(A31),_xlfn.MAKEARRAY(ROWS(_xlfn.ANCHORARRAY(A31)),COLUMNS(_xlfn.ANCHORARRAY(A31)),_xlfn.LAMBDA(_xlpm._,_xlpm.c,B3-(_xlpm.c-MIN(COLUMN(_xlfn.ANCHORARRAY(A31))))/B5)),_xlfn.LAMBDA(_xlpm.r,_xlpm.t,_xlfn.LET(
    _xlpm._a, ((2*_xlpm.h*EXP((_xlpm.h+_xlpm.a)*_xlpm.t/2))/(2*_xlpm.h+(_xlpm.h+_xlpm.a)*(EXP(_xlpm.h*_xlpm.t)-1)))^(2*_xlpm.a*_xlpm.b/_xlpm.s^2),
    _xlpm._b, (2*(EXP(_xlpm.h*_xlpm.t)-1))/(2*_xlpm.h + (_xlpm.h+_xlpm.a)*(EXP(_xlpm.h*_xlpm.t)-1)),
    _xlpm._a*EXP(-_xlpm._b*_xlpm.r)
))))</f>
        <v>0.64406656131390982</v>
      </c>
      <c r="B51" s="37">
        <f ca="1"/>
        <v>0.64604511828187039</v>
      </c>
      <c r="C51" s="37">
        <f ca="1"/>
        <v>0.64680777796539135</v>
      </c>
      <c r="D51" s="37">
        <f ca="1"/>
        <v>0.64796954755547864</v>
      </c>
      <c r="E51" s="37">
        <f ca="1"/>
        <v>0.64871422072145701</v>
      </c>
      <c r="F51" s="37">
        <f ca="1"/>
        <v>0.65018404524285589</v>
      </c>
      <c r="G51" s="37">
        <f ca="1"/>
        <v>0.65152336155301271</v>
      </c>
      <c r="H51" s="37">
        <f ca="1"/>
        <v>0.6522723374100079</v>
      </c>
      <c r="I51" s="37">
        <f ca="1"/>
        <v>0.65421957521306617</v>
      </c>
      <c r="J51" s="37">
        <f ca="1"/>
        <v>0.65634460055327393</v>
      </c>
      <c r="K51" s="37">
        <f ca="1"/>
        <v>0.65806602571359651</v>
      </c>
      <c r="L51" s="37">
        <f ca="1"/>
        <v>0.65985198139958612</v>
      </c>
      <c r="M51" s="37">
        <f ca="1"/>
        <v>0.66131306063945661</v>
      </c>
      <c r="N51" s="37">
        <f ca="1"/>
        <v>0.66196341469899544</v>
      </c>
      <c r="O51" s="37">
        <f ca="1"/>
        <v>0.6630413663890109</v>
      </c>
      <c r="P51" s="37">
        <f ca="1"/>
        <v>0.66614806585491348</v>
      </c>
      <c r="Q51" s="37">
        <f ca="1"/>
        <v>0.66832742530388778</v>
      </c>
      <c r="R51" s="37">
        <f ca="1"/>
        <v>0.67075348510204702</v>
      </c>
      <c r="S51" s="37">
        <f ca="1"/>
        <v>0.67295209140981893</v>
      </c>
      <c r="T51" s="37">
        <f ca="1"/>
        <v>0.67498512356913032</v>
      </c>
      <c r="U51" s="37">
        <f ca="1"/>
        <v>0.67791910760557716</v>
      </c>
      <c r="V51" s="37">
        <f ca="1"/>
        <v>0.67994457132525343</v>
      </c>
      <c r="W51" s="37">
        <f ca="1"/>
        <v>0.6830261655325317</v>
      </c>
      <c r="X51" s="37">
        <f ca="1"/>
        <v>0.68374170095905984</v>
      </c>
      <c r="Y51" s="37">
        <f ca="1"/>
        <v>0.68699360809691357</v>
      </c>
      <c r="Z51" s="37">
        <f ca="1"/>
        <v>0.68948327682375377</v>
      </c>
      <c r="AA51" s="37">
        <f ca="1"/>
        <v>0.69256502741616544</v>
      </c>
      <c r="AB51" s="37">
        <f ca="1"/>
        <v>0.69521448768804428</v>
      </c>
      <c r="AC51" s="37">
        <f ca="1"/>
        <v>0.69768747433547185</v>
      </c>
      <c r="AD51" s="37">
        <f ca="1"/>
        <v>0.70058251248688397</v>
      </c>
      <c r="AE51" s="37">
        <f ca="1"/>
        <v>0.70278616644859537</v>
      </c>
      <c r="AF51" s="37">
        <f ca="1"/>
        <v>0.70503775136442515</v>
      </c>
      <c r="AG51" s="37">
        <f ca="1"/>
        <v>0.70708570163529361</v>
      </c>
      <c r="AH51" s="37">
        <f ca="1"/>
        <v>0.70875617127157686</v>
      </c>
      <c r="AI51" s="37">
        <f ca="1"/>
        <v>0.71160496089904979</v>
      </c>
      <c r="AJ51" s="37">
        <f ca="1"/>
        <v>0.71393264507124565</v>
      </c>
      <c r="AK51" s="37">
        <f ca="1"/>
        <v>0.71849204700625302</v>
      </c>
      <c r="AL51" s="37">
        <f ca="1"/>
        <v>0.72140394789535478</v>
      </c>
      <c r="AM51" s="37">
        <f ca="1"/>
        <v>0.72534646797970503</v>
      </c>
      <c r="AN51" s="37">
        <f ca="1"/>
        <v>0.72751736233307951</v>
      </c>
      <c r="AO51" s="37">
        <f ca="1"/>
        <v>0.72938072894532113</v>
      </c>
      <c r="AP51" s="37">
        <f ca="1"/>
        <v>0.73118988133593188</v>
      </c>
      <c r="AQ51" s="37">
        <f ca="1"/>
        <v>0.73413600170807092</v>
      </c>
      <c r="AR51" s="37">
        <f ca="1"/>
        <v>0.73596319932578069</v>
      </c>
      <c r="AS51" s="37">
        <f ca="1"/>
        <v>0.73868377352622172</v>
      </c>
      <c r="AT51" s="37">
        <f ca="1"/>
        <v>0.74019608988692387</v>
      </c>
      <c r="AU51" s="37">
        <f ca="1"/>
        <v>0.74383359308849861</v>
      </c>
      <c r="AV51" s="37">
        <f ca="1"/>
        <v>0.74479998568393802</v>
      </c>
      <c r="AW51" s="37">
        <f ca="1"/>
        <v>0.74678277107144375</v>
      </c>
      <c r="AX51" s="37">
        <f ca="1"/>
        <v>0.74940360375132153</v>
      </c>
      <c r="AY51" s="37">
        <f ca="1"/>
        <v>0.75109670705210119</v>
      </c>
      <c r="AZ51" s="37">
        <f ca="1"/>
        <v>0.75491606448941928</v>
      </c>
      <c r="BA51" s="37">
        <f ca="1"/>
        <v>0.75860525840747128</v>
      </c>
      <c r="BB51" s="37">
        <f ca="1"/>
        <v>0.76192323789443483</v>
      </c>
      <c r="BC51" s="37">
        <f ca="1"/>
        <v>0.76329350170447019</v>
      </c>
      <c r="BD51" s="37">
        <f ca="1"/>
        <v>0.76538503360061971</v>
      </c>
      <c r="BE51" s="37">
        <f ca="1"/>
        <v>0.77028012102195642</v>
      </c>
      <c r="BF51" s="37">
        <f ca="1"/>
        <v>0.77220704400621198</v>
      </c>
      <c r="BG51" s="37">
        <f ca="1"/>
        <v>0.77563326138577826</v>
      </c>
      <c r="BH51" s="37">
        <f ca="1"/>
        <v>0.77825045836595952</v>
      </c>
      <c r="BI51" s="37">
        <f ca="1"/>
        <v>0.77986328441378561</v>
      </c>
      <c r="BJ51" s="37">
        <f ca="1"/>
        <v>0.78321652432284239</v>
      </c>
      <c r="BK51" s="37">
        <f ca="1"/>
        <v>0.78749919602561858</v>
      </c>
      <c r="BL51" s="37">
        <f ca="1"/>
        <v>0.79131143174971053</v>
      </c>
      <c r="BM51" s="37">
        <f ca="1"/>
        <v>0.79557435617841177</v>
      </c>
      <c r="BN51" s="37">
        <f ca="1"/>
        <v>0.79732647069100726</v>
      </c>
      <c r="BO51" s="37">
        <f ca="1"/>
        <v>0.79969789903589572</v>
      </c>
      <c r="BP51" s="37">
        <f ca="1"/>
        <v>0.80416706387904358</v>
      </c>
      <c r="BQ51" s="37">
        <f ca="1"/>
        <v>0.8067652009864924</v>
      </c>
      <c r="BR51" s="37">
        <f ca="1"/>
        <v>0.81051002093724023</v>
      </c>
      <c r="BS51" s="37">
        <f ca="1"/>
        <v>0.81337777245628151</v>
      </c>
      <c r="BT51" s="37">
        <f ca="1"/>
        <v>0.81716075100468377</v>
      </c>
      <c r="BU51" s="37">
        <f ca="1"/>
        <v>0.82054261546436269</v>
      </c>
      <c r="BV51" s="37">
        <f ca="1"/>
        <v>0.82121881370066419</v>
      </c>
      <c r="BW51" s="37">
        <f ca="1"/>
        <v>0.82422290944540411</v>
      </c>
      <c r="BX51" s="37">
        <f ca="1"/>
        <v>0.82674757082432693</v>
      </c>
      <c r="BY51" s="37">
        <f ca="1"/>
        <v>0.83022034457767024</v>
      </c>
      <c r="BZ51" s="37">
        <f ca="1"/>
        <v>0.83379692947078976</v>
      </c>
      <c r="CA51" s="37">
        <f ca="1"/>
        <v>0.8365485759641057</v>
      </c>
      <c r="CB51" s="37">
        <f ca="1"/>
        <v>0.84264794850873981</v>
      </c>
      <c r="CC51" s="37">
        <f ca="1"/>
        <v>0.84543035844617098</v>
      </c>
      <c r="CD51" s="37">
        <f ca="1"/>
        <v>0.85040931076956439</v>
      </c>
      <c r="CE51" s="37">
        <f ca="1"/>
        <v>0.85425926557162535</v>
      </c>
      <c r="CF51" s="37">
        <f ca="1"/>
        <v>0.85717401142284411</v>
      </c>
      <c r="CG51" s="37">
        <f ca="1"/>
        <v>0.86137157591338431</v>
      </c>
      <c r="CH51" s="37">
        <f ca="1"/>
        <v>0.86517760455529114</v>
      </c>
      <c r="CI51" s="37">
        <f ca="1"/>
        <v>0.86872490910527389</v>
      </c>
      <c r="CJ51" s="37">
        <f ca="1"/>
        <v>0.87304384003451041</v>
      </c>
      <c r="CK51" s="37">
        <f ca="1"/>
        <v>0.8767825209078528</v>
      </c>
      <c r="CL51" s="37">
        <f ca="1"/>
        <v>0.88018950160521248</v>
      </c>
      <c r="CM51" s="37">
        <f ca="1"/>
        <v>0.88450699113698983</v>
      </c>
      <c r="CN51" s="37">
        <f ca="1"/>
        <v>0.88770577500516956</v>
      </c>
      <c r="CO51" s="37">
        <f ca="1"/>
        <v>0.89131453735870914</v>
      </c>
      <c r="CP51" s="37">
        <f ca="1"/>
        <v>0.89467921429941644</v>
      </c>
      <c r="CQ51" s="37">
        <f ca="1"/>
        <v>0.89774198640298997</v>
      </c>
      <c r="CR51" s="37">
        <f ca="1"/>
        <v>0.90098439395998564</v>
      </c>
      <c r="CS51" s="37">
        <f ca="1"/>
        <v>0.90422515150698091</v>
      </c>
      <c r="CT51" s="37">
        <f ca="1"/>
        <v>0.90823572694680854</v>
      </c>
      <c r="CU51" s="37">
        <f ca="1"/>
        <v>0.91292497362975533</v>
      </c>
      <c r="CV51" s="37">
        <f ca="1"/>
        <v>0.91685557959469288</v>
      </c>
      <c r="CW51" s="37">
        <f ca="1"/>
        <v>0.92037353112988662</v>
      </c>
      <c r="CX51" s="37">
        <f ca="1"/>
        <v>0.92354924908663838</v>
      </c>
      <c r="CY51" s="37">
        <f ca="1"/>
        <v>0.92829217212279425</v>
      </c>
      <c r="CZ51" s="37">
        <f ca="1"/>
        <v>0.93230459384401121</v>
      </c>
      <c r="DA51" s="37">
        <f ca="1"/>
        <v>0.93608322734067595</v>
      </c>
      <c r="DB51" s="37">
        <f ca="1"/>
        <v>0.93985632402321639</v>
      </c>
      <c r="DC51" s="37">
        <f ca="1"/>
        <v>0.94384879702393076</v>
      </c>
      <c r="DD51" s="37">
        <f ca="1"/>
        <v>0.94811666305466347</v>
      </c>
      <c r="DE51" s="37">
        <f ca="1"/>
        <v>0.95126937140570167</v>
      </c>
      <c r="DF51" s="37">
        <f ca="1"/>
        <v>0.95500417422615502</v>
      </c>
      <c r="DG51" s="37">
        <f ca="1"/>
        <v>0.959258539093369</v>
      </c>
      <c r="DH51" s="37">
        <f ca="1"/>
        <v>0.96362320762839504</v>
      </c>
      <c r="DI51" s="37">
        <f ca="1"/>
        <v>0.96796418078053703</v>
      </c>
      <c r="DJ51" s="37">
        <f ca="1"/>
        <v>0.97172883200009086</v>
      </c>
      <c r="DK51" s="37">
        <f ca="1"/>
        <v>0.97571364866058441</v>
      </c>
      <c r="DL51" s="37">
        <f ca="1"/>
        <v>0.97940909151183486</v>
      </c>
      <c r="DM51" s="37">
        <f ca="1"/>
        <v>0.98378984247446921</v>
      </c>
      <c r="DN51" s="37">
        <f ca="1"/>
        <v>0.98783652912405162</v>
      </c>
      <c r="DO51" s="37">
        <f ca="1"/>
        <v>0.9918624264602468</v>
      </c>
      <c r="DP51" s="37">
        <f ca="1"/>
        <v>0.99597441187874813</v>
      </c>
      <c r="DQ51" s="37">
        <f ca="1"/>
        <v>1</v>
      </c>
    </row>
    <row r="52" spans="1:121" s="37" customFormat="1" x14ac:dyDescent="0.3">
      <c r="A52" s="37">
        <f ca="1"/>
        <v>0.64406656131390982</v>
      </c>
      <c r="B52" s="37">
        <f ca="1"/>
        <v>0.64487323803004992</v>
      </c>
      <c r="C52" s="37">
        <f ca="1"/>
        <v>0.64507658479486485</v>
      </c>
      <c r="D52" s="37">
        <f ca="1"/>
        <v>0.64745948431133349</v>
      </c>
      <c r="E52" s="37">
        <f ca="1"/>
        <v>0.64863196910799548</v>
      </c>
      <c r="F52" s="37">
        <f ca="1"/>
        <v>0.65026483210014951</v>
      </c>
      <c r="G52" s="37">
        <f ca="1"/>
        <v>0.65159218134723673</v>
      </c>
      <c r="H52" s="37">
        <f ca="1"/>
        <v>0.65237260079487558</v>
      </c>
      <c r="I52" s="37">
        <f ca="1"/>
        <v>0.65485699126148555</v>
      </c>
      <c r="J52" s="37">
        <f ca="1"/>
        <v>0.65624955370761739</v>
      </c>
      <c r="K52" s="37">
        <f ca="1"/>
        <v>0.65762031448545688</v>
      </c>
      <c r="L52" s="37">
        <f ca="1"/>
        <v>0.65885568428804075</v>
      </c>
      <c r="M52" s="37">
        <f ca="1"/>
        <v>0.66092956210935394</v>
      </c>
      <c r="N52" s="37">
        <f ca="1"/>
        <v>0.66248757195729024</v>
      </c>
      <c r="O52" s="37">
        <f ca="1"/>
        <v>0.66416487719013695</v>
      </c>
      <c r="P52" s="37">
        <f ca="1"/>
        <v>0.66587522439606484</v>
      </c>
      <c r="Q52" s="37">
        <f ca="1"/>
        <v>0.66796480132157787</v>
      </c>
      <c r="R52" s="37">
        <f ca="1"/>
        <v>0.66999676583850298</v>
      </c>
      <c r="S52" s="37">
        <f ca="1"/>
        <v>0.67107566184868073</v>
      </c>
      <c r="T52" s="37">
        <f ca="1"/>
        <v>0.67340098220323485</v>
      </c>
      <c r="U52" s="37">
        <f ca="1"/>
        <v>0.67556968972368003</v>
      </c>
      <c r="V52" s="37">
        <f ca="1"/>
        <v>0.67823036642255363</v>
      </c>
      <c r="W52" s="37">
        <f ca="1"/>
        <v>0.68059944701075425</v>
      </c>
      <c r="X52" s="37">
        <f ca="1"/>
        <v>0.68310541399405589</v>
      </c>
      <c r="Y52" s="37">
        <f ca="1"/>
        <v>0.68454688837109212</v>
      </c>
      <c r="Z52" s="37">
        <f ca="1"/>
        <v>0.68658748886673837</v>
      </c>
      <c r="AA52" s="37">
        <f ca="1"/>
        <v>0.68982018022197478</v>
      </c>
      <c r="AB52" s="37">
        <f ca="1"/>
        <v>0.69090574693836426</v>
      </c>
      <c r="AC52" s="37">
        <f ca="1"/>
        <v>0.69259813085659994</v>
      </c>
      <c r="AD52" s="37">
        <f ca="1"/>
        <v>0.69426536369612823</v>
      </c>
      <c r="AE52" s="37">
        <f ca="1"/>
        <v>0.69690580150720127</v>
      </c>
      <c r="AF52" s="37">
        <f ca="1"/>
        <v>0.70045305095579313</v>
      </c>
      <c r="AG52" s="37">
        <f ca="1"/>
        <v>0.70378727213681502</v>
      </c>
      <c r="AH52" s="37">
        <f ca="1"/>
        <v>0.70569538356679096</v>
      </c>
      <c r="AI52" s="37">
        <f ca="1"/>
        <v>0.70887451425388182</v>
      </c>
      <c r="AJ52" s="37">
        <f ca="1"/>
        <v>0.71151988608365102</v>
      </c>
      <c r="AK52" s="37">
        <f ca="1"/>
        <v>0.7140757344291454</v>
      </c>
      <c r="AL52" s="37">
        <f ca="1"/>
        <v>0.7154837914809894</v>
      </c>
      <c r="AM52" s="37">
        <f ca="1"/>
        <v>0.7178595342923304</v>
      </c>
      <c r="AN52" s="37">
        <f ca="1"/>
        <v>0.72127120721006999</v>
      </c>
      <c r="AO52" s="37">
        <f ca="1"/>
        <v>0.72352867107518315</v>
      </c>
      <c r="AP52" s="37">
        <f ca="1"/>
        <v>0.72778663922831854</v>
      </c>
      <c r="AQ52" s="37">
        <f ca="1"/>
        <v>0.73050539448600937</v>
      </c>
      <c r="AR52" s="37">
        <f ca="1"/>
        <v>0.73416122470875889</v>
      </c>
      <c r="AS52" s="37">
        <f ca="1"/>
        <v>0.73717900178549756</v>
      </c>
      <c r="AT52" s="37">
        <f ca="1"/>
        <v>0.74111793852386443</v>
      </c>
      <c r="AU52" s="37">
        <f ca="1"/>
        <v>0.7448249442713194</v>
      </c>
      <c r="AV52" s="37">
        <f ca="1"/>
        <v>0.74772573344342197</v>
      </c>
      <c r="AW52" s="37">
        <f ca="1"/>
        <v>0.75138402234458035</v>
      </c>
      <c r="AX52" s="37">
        <f ca="1"/>
        <v>0.75337070137200479</v>
      </c>
      <c r="AY52" s="37">
        <f ca="1"/>
        <v>0.75514762253007073</v>
      </c>
      <c r="AZ52" s="37">
        <f ca="1"/>
        <v>0.7579185698118962</v>
      </c>
      <c r="BA52" s="37">
        <f ca="1"/>
        <v>0.76080489096017767</v>
      </c>
      <c r="BB52" s="37">
        <f ca="1"/>
        <v>0.76400547396059137</v>
      </c>
      <c r="BC52" s="37">
        <f ca="1"/>
        <v>0.76606434532301548</v>
      </c>
      <c r="BD52" s="37">
        <f ca="1"/>
        <v>0.76856846773714793</v>
      </c>
      <c r="BE52" s="37">
        <f ca="1"/>
        <v>0.77150742548190043</v>
      </c>
      <c r="BF52" s="37">
        <f ca="1"/>
        <v>0.77554914793419361</v>
      </c>
      <c r="BG52" s="37">
        <f ca="1"/>
        <v>0.77765530200673172</v>
      </c>
      <c r="BH52" s="37">
        <f ca="1"/>
        <v>0.77897281755383219</v>
      </c>
      <c r="BI52" s="37">
        <f ca="1"/>
        <v>0.78297406564869843</v>
      </c>
      <c r="BJ52" s="37">
        <f ca="1"/>
        <v>0.78654375853534775</v>
      </c>
      <c r="BK52" s="37">
        <f ca="1"/>
        <v>0.78921421395072122</v>
      </c>
      <c r="BL52" s="37">
        <f ca="1"/>
        <v>0.79128672105467435</v>
      </c>
      <c r="BM52" s="37">
        <f ca="1"/>
        <v>0.79614654272708507</v>
      </c>
      <c r="BN52" s="37">
        <f ca="1"/>
        <v>0.79895641336614243</v>
      </c>
      <c r="BO52" s="37">
        <f ca="1"/>
        <v>0.80307304168018379</v>
      </c>
      <c r="BP52" s="37">
        <f ca="1"/>
        <v>0.80506191265507443</v>
      </c>
      <c r="BQ52" s="37">
        <f ca="1"/>
        <v>0.80743396507684828</v>
      </c>
      <c r="BR52" s="37">
        <f ca="1"/>
        <v>0.81024102293047562</v>
      </c>
      <c r="BS52" s="37">
        <f ca="1"/>
        <v>0.81284933111796298</v>
      </c>
      <c r="BT52" s="37">
        <f ca="1"/>
        <v>0.81684991947217078</v>
      </c>
      <c r="BU52" s="37">
        <f ca="1"/>
        <v>0.82166705797561357</v>
      </c>
      <c r="BV52" s="37">
        <f ca="1"/>
        <v>0.82520682557432035</v>
      </c>
      <c r="BW52" s="37">
        <f ca="1"/>
        <v>0.83064500058957191</v>
      </c>
      <c r="BX52" s="37">
        <f ca="1"/>
        <v>0.83351658807387086</v>
      </c>
      <c r="BY52" s="37">
        <f ca="1"/>
        <v>0.8358981645618101</v>
      </c>
      <c r="BZ52" s="37">
        <f ca="1"/>
        <v>0.83952397911998</v>
      </c>
      <c r="CA52" s="37">
        <f ca="1"/>
        <v>0.84266340896472192</v>
      </c>
      <c r="CB52" s="37">
        <f ca="1"/>
        <v>0.84608956600013263</v>
      </c>
      <c r="CC52" s="37">
        <f ca="1"/>
        <v>0.84839770943056247</v>
      </c>
      <c r="CD52" s="37">
        <f ca="1"/>
        <v>0.85032913676995203</v>
      </c>
      <c r="CE52" s="37">
        <f ca="1"/>
        <v>0.85374924415294196</v>
      </c>
      <c r="CF52" s="37">
        <f ca="1"/>
        <v>0.85811898591020275</v>
      </c>
      <c r="CG52" s="37">
        <f ca="1"/>
        <v>0.86252565086241639</v>
      </c>
      <c r="CH52" s="37">
        <f ca="1"/>
        <v>0.86571706833013196</v>
      </c>
      <c r="CI52" s="37">
        <f ca="1"/>
        <v>0.8679780776820003</v>
      </c>
      <c r="CJ52" s="37">
        <f ca="1"/>
        <v>0.87284709536352822</v>
      </c>
      <c r="CK52" s="37">
        <f ca="1"/>
        <v>0.87605313685469488</v>
      </c>
      <c r="CL52" s="37">
        <f ca="1"/>
        <v>0.8800636969772172</v>
      </c>
      <c r="CM52" s="37">
        <f ca="1"/>
        <v>0.88395428149811583</v>
      </c>
      <c r="CN52" s="37">
        <f ca="1"/>
        <v>0.88793202476715494</v>
      </c>
      <c r="CO52" s="37">
        <f ca="1"/>
        <v>0.89069465191668096</v>
      </c>
      <c r="CP52" s="37">
        <f ca="1"/>
        <v>0.89357598639131686</v>
      </c>
      <c r="CQ52" s="37">
        <f ca="1"/>
        <v>0.89695800174259821</v>
      </c>
      <c r="CR52" s="37">
        <f ca="1"/>
        <v>0.90058452229701658</v>
      </c>
      <c r="CS52" s="37">
        <f ca="1"/>
        <v>0.90343907973942206</v>
      </c>
      <c r="CT52" s="37">
        <f ca="1"/>
        <v>0.90756705134606175</v>
      </c>
      <c r="CU52" s="37">
        <f ca="1"/>
        <v>0.91230296128022226</v>
      </c>
      <c r="CV52" s="37">
        <f ca="1"/>
        <v>0.91589956734958156</v>
      </c>
      <c r="CW52" s="37">
        <f ca="1"/>
        <v>0.92152564190075625</v>
      </c>
      <c r="CX52" s="37">
        <f ca="1"/>
        <v>0.92567359217148992</v>
      </c>
      <c r="CY52" s="37">
        <f ca="1"/>
        <v>0.92856941879890798</v>
      </c>
      <c r="CZ52" s="37">
        <f ca="1"/>
        <v>0.93202995798240751</v>
      </c>
      <c r="DA52" s="37">
        <f ca="1"/>
        <v>0.93607410716850337</v>
      </c>
      <c r="DB52" s="37">
        <f ca="1"/>
        <v>0.94039270792341467</v>
      </c>
      <c r="DC52" s="37">
        <f ca="1"/>
        <v>0.944670857064001</v>
      </c>
      <c r="DD52" s="37">
        <f ca="1"/>
        <v>0.94765917152885482</v>
      </c>
      <c r="DE52" s="37">
        <f ca="1"/>
        <v>0.95106846108309884</v>
      </c>
      <c r="DF52" s="37">
        <f ca="1"/>
        <v>0.95550623657506817</v>
      </c>
      <c r="DG52" s="37">
        <f ca="1"/>
        <v>0.9605241874963838</v>
      </c>
      <c r="DH52" s="37">
        <f ca="1"/>
        <v>0.96420750593142979</v>
      </c>
      <c r="DI52" s="37">
        <f ca="1"/>
        <v>0.96788885446770789</v>
      </c>
      <c r="DJ52" s="37">
        <f ca="1"/>
        <v>0.97252261731658107</v>
      </c>
      <c r="DK52" s="37">
        <f ca="1"/>
        <v>0.97652360447653885</v>
      </c>
      <c r="DL52" s="37">
        <f ca="1"/>
        <v>0.98018772857832981</v>
      </c>
      <c r="DM52" s="37">
        <f ca="1"/>
        <v>0.98435998005189895</v>
      </c>
      <c r="DN52" s="37">
        <f ca="1"/>
        <v>0.98817800256582589</v>
      </c>
      <c r="DO52" s="37">
        <f ca="1"/>
        <v>0.99192280921428622</v>
      </c>
      <c r="DP52" s="37">
        <f ca="1"/>
        <v>0.99597189671862485</v>
      </c>
      <c r="DQ52" s="37">
        <f ca="1"/>
        <v>1</v>
      </c>
    </row>
    <row r="53" spans="1:121" s="37" customFormat="1" x14ac:dyDescent="0.3">
      <c r="A53" s="37">
        <f ca="1"/>
        <v>0.64406656131390982</v>
      </c>
      <c r="B53" s="37">
        <f ca="1"/>
        <v>0.64535421491583267</v>
      </c>
      <c r="C53" s="37">
        <f ca="1"/>
        <v>0.64665456975361246</v>
      </c>
      <c r="D53" s="37">
        <f ca="1"/>
        <v>0.64765775116900093</v>
      </c>
      <c r="E53" s="37">
        <f ca="1"/>
        <v>0.64912431686166883</v>
      </c>
      <c r="F53" s="37">
        <f ca="1"/>
        <v>0.65050519696557196</v>
      </c>
      <c r="G53" s="37">
        <f ca="1"/>
        <v>0.6516769799771428</v>
      </c>
      <c r="H53" s="37">
        <f ca="1"/>
        <v>0.65339179119191537</v>
      </c>
      <c r="I53" s="37">
        <f ca="1"/>
        <v>0.6541859309403788</v>
      </c>
      <c r="J53" s="37">
        <f ca="1"/>
        <v>0.65452556756111391</v>
      </c>
      <c r="K53" s="37">
        <f ca="1"/>
        <v>0.65586422476881734</v>
      </c>
      <c r="L53" s="37">
        <f ca="1"/>
        <v>0.65687918341604989</v>
      </c>
      <c r="M53" s="37">
        <f ca="1"/>
        <v>0.65890183362394705</v>
      </c>
      <c r="N53" s="37">
        <f ca="1"/>
        <v>0.66176248866094201</v>
      </c>
      <c r="O53" s="37">
        <f ca="1"/>
        <v>0.66276436752220758</v>
      </c>
      <c r="P53" s="37">
        <f ca="1"/>
        <v>0.66534613375702467</v>
      </c>
      <c r="Q53" s="37">
        <f ca="1"/>
        <v>0.66840682237657889</v>
      </c>
      <c r="R53" s="37">
        <f ca="1"/>
        <v>0.67019222697707104</v>
      </c>
      <c r="S53" s="37">
        <f ca="1"/>
        <v>0.6732192040215268</v>
      </c>
      <c r="T53" s="37">
        <f ca="1"/>
        <v>0.6752713563516437</v>
      </c>
      <c r="U53" s="37">
        <f ca="1"/>
        <v>0.67714042177491862</v>
      </c>
      <c r="V53" s="37">
        <f ca="1"/>
        <v>0.677462823817777</v>
      </c>
      <c r="W53" s="37">
        <f ca="1"/>
        <v>0.67852017602013703</v>
      </c>
      <c r="X53" s="37">
        <f ca="1"/>
        <v>0.67993072736785021</v>
      </c>
      <c r="Y53" s="37">
        <f ca="1"/>
        <v>0.68309457197520518</v>
      </c>
      <c r="Z53" s="37">
        <f ca="1"/>
        <v>0.68482107517592683</v>
      </c>
      <c r="AA53" s="37">
        <f ca="1"/>
        <v>0.68677281924341649</v>
      </c>
      <c r="AB53" s="37">
        <f ca="1"/>
        <v>0.6893098498014566</v>
      </c>
      <c r="AC53" s="37">
        <f ca="1"/>
        <v>0.69145157592917295</v>
      </c>
      <c r="AD53" s="37">
        <f ca="1"/>
        <v>0.69383778033412324</v>
      </c>
      <c r="AE53" s="37">
        <f ca="1"/>
        <v>0.69555199563594738</v>
      </c>
      <c r="AF53" s="37">
        <f ca="1"/>
        <v>0.6977367506412443</v>
      </c>
      <c r="AG53" s="37">
        <f ca="1"/>
        <v>0.69924087357066378</v>
      </c>
      <c r="AH53" s="37">
        <f ca="1"/>
        <v>0.70305280284263771</v>
      </c>
      <c r="AI53" s="37">
        <f ca="1"/>
        <v>0.70556096345544717</v>
      </c>
      <c r="AJ53" s="37">
        <f ca="1"/>
        <v>0.7074480730447108</v>
      </c>
      <c r="AK53" s="37">
        <f ca="1"/>
        <v>0.71114176451520805</v>
      </c>
      <c r="AL53" s="37">
        <f ca="1"/>
        <v>0.71450017760603557</v>
      </c>
      <c r="AM53" s="37">
        <f ca="1"/>
        <v>0.71617701026636327</v>
      </c>
      <c r="AN53" s="37">
        <f ca="1"/>
        <v>0.71848005125232195</v>
      </c>
      <c r="AO53" s="37">
        <f ca="1"/>
        <v>0.72167107651348039</v>
      </c>
      <c r="AP53" s="37">
        <f ca="1"/>
        <v>0.72252452710522652</v>
      </c>
      <c r="AQ53" s="37">
        <f ca="1"/>
        <v>0.72469296384949178</v>
      </c>
      <c r="AR53" s="37">
        <f ca="1"/>
        <v>0.72695856450246599</v>
      </c>
      <c r="AS53" s="37">
        <f ca="1"/>
        <v>0.73021591798583829</v>
      </c>
      <c r="AT53" s="37">
        <f ca="1"/>
        <v>0.73359013303084475</v>
      </c>
      <c r="AU53" s="37">
        <f ca="1"/>
        <v>0.7354334434136639</v>
      </c>
      <c r="AV53" s="37">
        <f ca="1"/>
        <v>0.73717346100256276</v>
      </c>
      <c r="AW53" s="37">
        <f ca="1"/>
        <v>0.74145455847872499</v>
      </c>
      <c r="AX53" s="37">
        <f ca="1"/>
        <v>0.74542355389914672</v>
      </c>
      <c r="AY53" s="37">
        <f ca="1"/>
        <v>0.74775229788375774</v>
      </c>
      <c r="AZ53" s="37">
        <f ca="1"/>
        <v>0.75199277572675038</v>
      </c>
      <c r="BA53" s="37">
        <f ca="1"/>
        <v>0.75467080537965925</v>
      </c>
      <c r="BB53" s="37">
        <f ca="1"/>
        <v>0.75778591014762975</v>
      </c>
      <c r="BC53" s="37">
        <f ca="1"/>
        <v>0.76019709341440977</v>
      </c>
      <c r="BD53" s="37">
        <f ca="1"/>
        <v>0.76304680525233726</v>
      </c>
      <c r="BE53" s="37">
        <f ca="1"/>
        <v>0.76734213747696234</v>
      </c>
      <c r="BF53" s="37">
        <f ca="1"/>
        <v>0.76965897764165392</v>
      </c>
      <c r="BG53" s="37">
        <f ca="1"/>
        <v>0.77336442593215737</v>
      </c>
      <c r="BH53" s="37">
        <f ca="1"/>
        <v>0.77682550493143943</v>
      </c>
      <c r="BI53" s="37">
        <f ca="1"/>
        <v>0.78042658656708719</v>
      </c>
      <c r="BJ53" s="37">
        <f ca="1"/>
        <v>0.78257513095242537</v>
      </c>
      <c r="BK53" s="37">
        <f ca="1"/>
        <v>0.78467926190336179</v>
      </c>
      <c r="BL53" s="37">
        <f ca="1"/>
        <v>0.78685063696526214</v>
      </c>
      <c r="BM53" s="37">
        <f ca="1"/>
        <v>0.78903894001378327</v>
      </c>
      <c r="BN53" s="37">
        <f ca="1"/>
        <v>0.79302363524225972</v>
      </c>
      <c r="BO53" s="37">
        <f ca="1"/>
        <v>0.79721678952160502</v>
      </c>
      <c r="BP53" s="37">
        <f ca="1"/>
        <v>0.80080936872036645</v>
      </c>
      <c r="BQ53" s="37">
        <f ca="1"/>
        <v>0.80619350996477268</v>
      </c>
      <c r="BR53" s="37">
        <f ca="1"/>
        <v>0.810519305188933</v>
      </c>
      <c r="BS53" s="37">
        <f ca="1"/>
        <v>0.81389602652410775</v>
      </c>
      <c r="BT53" s="37">
        <f ca="1"/>
        <v>0.81775374840502368</v>
      </c>
      <c r="BU53" s="37">
        <f ca="1"/>
        <v>0.82045857752428342</v>
      </c>
      <c r="BV53" s="37">
        <f ca="1"/>
        <v>0.8244613345892049</v>
      </c>
      <c r="BW53" s="37">
        <f ca="1"/>
        <v>0.82789951677227192</v>
      </c>
      <c r="BX53" s="37">
        <f ca="1"/>
        <v>0.82971732623070282</v>
      </c>
      <c r="BY53" s="37">
        <f ca="1"/>
        <v>0.83449089303078572</v>
      </c>
      <c r="BZ53" s="37">
        <f ca="1"/>
        <v>0.83871281181083013</v>
      </c>
      <c r="CA53" s="37">
        <f ca="1"/>
        <v>0.84241958848219667</v>
      </c>
      <c r="CB53" s="37">
        <f ca="1"/>
        <v>0.84519787835109317</v>
      </c>
      <c r="CC53" s="37">
        <f ca="1"/>
        <v>0.84816364449143256</v>
      </c>
      <c r="CD53" s="37">
        <f ca="1"/>
        <v>0.8509494494088482</v>
      </c>
      <c r="CE53" s="37">
        <f ca="1"/>
        <v>0.85499858395530182</v>
      </c>
      <c r="CF53" s="37">
        <f ca="1"/>
        <v>0.85747387098658934</v>
      </c>
      <c r="CG53" s="37">
        <f ca="1"/>
        <v>0.86123664849837445</v>
      </c>
      <c r="CH53" s="37">
        <f ca="1"/>
        <v>0.86274877890947754</v>
      </c>
      <c r="CI53" s="37">
        <f ca="1"/>
        <v>0.86616740268374481</v>
      </c>
      <c r="CJ53" s="37">
        <f ca="1"/>
        <v>0.86995176942441188</v>
      </c>
      <c r="CK53" s="37">
        <f ca="1"/>
        <v>0.87260086563733408</v>
      </c>
      <c r="CL53" s="37">
        <f ca="1"/>
        <v>0.87628807427704958</v>
      </c>
      <c r="CM53" s="37">
        <f ca="1"/>
        <v>0.88063149233666282</v>
      </c>
      <c r="CN53" s="37">
        <f ca="1"/>
        <v>0.88457683244627994</v>
      </c>
      <c r="CO53" s="37">
        <f ca="1"/>
        <v>0.88802090524634048</v>
      </c>
      <c r="CP53" s="37">
        <f ca="1"/>
        <v>0.8902230524539656</v>
      </c>
      <c r="CQ53" s="37">
        <f ca="1"/>
        <v>0.89369746435902886</v>
      </c>
      <c r="CR53" s="37">
        <f ca="1"/>
        <v>0.89651209545703914</v>
      </c>
      <c r="CS53" s="37">
        <f ca="1"/>
        <v>0.90082599520255602</v>
      </c>
      <c r="CT53" s="37">
        <f ca="1"/>
        <v>0.90462721279613001</v>
      </c>
      <c r="CU53" s="37">
        <f ca="1"/>
        <v>0.90931310922574304</v>
      </c>
      <c r="CV53" s="37">
        <f ca="1"/>
        <v>0.91368496275277256</v>
      </c>
      <c r="CW53" s="37">
        <f ca="1"/>
        <v>0.91753087042995762</v>
      </c>
      <c r="CX53" s="37">
        <f ca="1"/>
        <v>0.92233767397110888</v>
      </c>
      <c r="CY53" s="37">
        <f ca="1"/>
        <v>0.92692530863632461</v>
      </c>
      <c r="CZ53" s="37">
        <f ca="1"/>
        <v>0.93048599858013015</v>
      </c>
      <c r="DA53" s="37">
        <f ca="1"/>
        <v>0.93435336972035032</v>
      </c>
      <c r="DB53" s="37">
        <f ca="1"/>
        <v>0.93919308511096744</v>
      </c>
      <c r="DC53" s="37">
        <f ca="1"/>
        <v>0.94256026345987765</v>
      </c>
      <c r="DD53" s="37">
        <f ca="1"/>
        <v>0.94717207136507509</v>
      </c>
      <c r="DE53" s="37">
        <f ca="1"/>
        <v>0.95092359870710697</v>
      </c>
      <c r="DF53" s="37">
        <f ca="1"/>
        <v>0.9555452578312803</v>
      </c>
      <c r="DG53" s="37">
        <f ca="1"/>
        <v>0.95949589638982113</v>
      </c>
      <c r="DH53" s="37">
        <f ca="1"/>
        <v>0.96344379832057392</v>
      </c>
      <c r="DI53" s="37">
        <f ca="1"/>
        <v>0.96717432849067797</v>
      </c>
      <c r="DJ53" s="37">
        <f ca="1"/>
        <v>0.97074491292313225</v>
      </c>
      <c r="DK53" s="37">
        <f ca="1"/>
        <v>0.97482669387972498</v>
      </c>
      <c r="DL53" s="37">
        <f ca="1"/>
        <v>0.97867799135686107</v>
      </c>
      <c r="DM53" s="37">
        <f ca="1"/>
        <v>0.98271857065282431</v>
      </c>
      <c r="DN53" s="37">
        <f ca="1"/>
        <v>0.98712511381992973</v>
      </c>
      <c r="DO53" s="37">
        <f ca="1"/>
        <v>0.99114289996945326</v>
      </c>
      <c r="DP53" s="37">
        <f ca="1"/>
        <v>0.99563405408612804</v>
      </c>
      <c r="DQ53" s="37">
        <f ca="1"/>
        <v>1</v>
      </c>
    </row>
    <row r="54" spans="1:121" s="37" customFormat="1" x14ac:dyDescent="0.3">
      <c r="A54" s="37">
        <f ca="1"/>
        <v>0.64406656131390982</v>
      </c>
      <c r="B54" s="37">
        <f ca="1"/>
        <v>0.6452238638611314</v>
      </c>
      <c r="C54" s="37">
        <f ca="1"/>
        <v>0.64599374585635849</v>
      </c>
      <c r="D54" s="37">
        <f ca="1"/>
        <v>0.647203152952045</v>
      </c>
      <c r="E54" s="37">
        <f ca="1"/>
        <v>0.64904270691180121</v>
      </c>
      <c r="F54" s="37">
        <f ca="1"/>
        <v>0.64988554408011368</v>
      </c>
      <c r="G54" s="37">
        <f ca="1"/>
        <v>0.65142550611682692</v>
      </c>
      <c r="H54" s="37">
        <f ca="1"/>
        <v>0.65224435828307714</v>
      </c>
      <c r="I54" s="37">
        <f ca="1"/>
        <v>0.65362548285043887</v>
      </c>
      <c r="J54" s="37">
        <f ca="1"/>
        <v>0.6547592282020166</v>
      </c>
      <c r="K54" s="37">
        <f ca="1"/>
        <v>0.65751739154996658</v>
      </c>
      <c r="L54" s="37">
        <f ca="1"/>
        <v>0.65865561741444711</v>
      </c>
      <c r="M54" s="37">
        <f ca="1"/>
        <v>0.65902109229192196</v>
      </c>
      <c r="N54" s="37">
        <f ca="1"/>
        <v>0.66155976763687474</v>
      </c>
      <c r="O54" s="37">
        <f ca="1"/>
        <v>0.66416596780849357</v>
      </c>
      <c r="P54" s="37">
        <f ca="1"/>
        <v>0.66553114391973489</v>
      </c>
      <c r="Q54" s="37">
        <f ca="1"/>
        <v>0.66675300044930186</v>
      </c>
      <c r="R54" s="37">
        <f ca="1"/>
        <v>0.66819793662728599</v>
      </c>
      <c r="S54" s="37">
        <f ca="1"/>
        <v>0.67063370388292876</v>
      </c>
      <c r="T54" s="37">
        <f ca="1"/>
        <v>0.67219969776827559</v>
      </c>
      <c r="U54" s="37">
        <f ca="1"/>
        <v>0.67446397866581942</v>
      </c>
      <c r="V54" s="37">
        <f ca="1"/>
        <v>0.67551459728588759</v>
      </c>
      <c r="W54" s="37">
        <f ca="1"/>
        <v>0.67814969660370561</v>
      </c>
      <c r="X54" s="37">
        <f ca="1"/>
        <v>0.68104157504139262</v>
      </c>
      <c r="Y54" s="37">
        <f ca="1"/>
        <v>0.68365754030245873</v>
      </c>
      <c r="Z54" s="37">
        <f ca="1"/>
        <v>0.68471974389111778</v>
      </c>
      <c r="AA54" s="37">
        <f ca="1"/>
        <v>0.68814635346785646</v>
      </c>
      <c r="AB54" s="37">
        <f ca="1"/>
        <v>0.69020116806701526</v>
      </c>
      <c r="AC54" s="37">
        <f ca="1"/>
        <v>0.69260187795705419</v>
      </c>
      <c r="AD54" s="37">
        <f ca="1"/>
        <v>0.69485023922265376</v>
      </c>
      <c r="AE54" s="37">
        <f ca="1"/>
        <v>0.69593744609921737</v>
      </c>
      <c r="AF54" s="37">
        <f ca="1"/>
        <v>0.69820891710063948</v>
      </c>
      <c r="AG54" s="37">
        <f ca="1"/>
        <v>0.70141161369616156</v>
      </c>
      <c r="AH54" s="37">
        <f ca="1"/>
        <v>0.70425907016598854</v>
      </c>
      <c r="AI54" s="37">
        <f ca="1"/>
        <v>0.70809927371222559</v>
      </c>
      <c r="AJ54" s="37">
        <f ca="1"/>
        <v>0.71169735804056955</v>
      </c>
      <c r="AK54" s="37">
        <f ca="1"/>
        <v>0.71454831533574914</v>
      </c>
      <c r="AL54" s="37">
        <f ca="1"/>
        <v>0.71636090559355547</v>
      </c>
      <c r="AM54" s="37">
        <f ca="1"/>
        <v>0.7166657389981872</v>
      </c>
      <c r="AN54" s="37">
        <f ca="1"/>
        <v>0.7178007577433112</v>
      </c>
      <c r="AO54" s="37">
        <f ca="1"/>
        <v>0.72157180458876702</v>
      </c>
      <c r="AP54" s="37">
        <f ca="1"/>
        <v>0.72543243201278174</v>
      </c>
      <c r="AQ54" s="37">
        <f ca="1"/>
        <v>0.72696582502836304</v>
      </c>
      <c r="AR54" s="37">
        <f ca="1"/>
        <v>0.72903386678694437</v>
      </c>
      <c r="AS54" s="37">
        <f ca="1"/>
        <v>0.73302033529460053</v>
      </c>
      <c r="AT54" s="37">
        <f ca="1"/>
        <v>0.73608096189873518</v>
      </c>
      <c r="AU54" s="37">
        <f ca="1"/>
        <v>0.73883825946900294</v>
      </c>
      <c r="AV54" s="37">
        <f ca="1"/>
        <v>0.74180663942894431</v>
      </c>
      <c r="AW54" s="37">
        <f ca="1"/>
        <v>0.74644754085846166</v>
      </c>
      <c r="AX54" s="37">
        <f ca="1"/>
        <v>0.75032967157461405</v>
      </c>
      <c r="AY54" s="37">
        <f ca="1"/>
        <v>0.7527710122411414</v>
      </c>
      <c r="AZ54" s="37">
        <f ca="1"/>
        <v>0.75523542362409235</v>
      </c>
      <c r="BA54" s="37">
        <f ca="1"/>
        <v>0.75896942652560029</v>
      </c>
      <c r="BB54" s="37">
        <f ca="1"/>
        <v>0.76125099816422503</v>
      </c>
      <c r="BC54" s="37">
        <f ca="1"/>
        <v>0.76410023540030447</v>
      </c>
      <c r="BD54" s="37">
        <f ca="1"/>
        <v>0.76828333124317472</v>
      </c>
      <c r="BE54" s="37">
        <f ca="1"/>
        <v>0.77007304487372596</v>
      </c>
      <c r="BF54" s="37">
        <f ca="1"/>
        <v>0.77391183717967871</v>
      </c>
      <c r="BG54" s="37">
        <f ca="1"/>
        <v>0.7781456423523716</v>
      </c>
      <c r="BH54" s="37">
        <f ca="1"/>
        <v>0.78131010018450009</v>
      </c>
      <c r="BI54" s="37">
        <f ca="1"/>
        <v>0.78384432826719108</v>
      </c>
      <c r="BJ54" s="37">
        <f ca="1"/>
        <v>0.78672211744449549</v>
      </c>
      <c r="BK54" s="37">
        <f ca="1"/>
        <v>0.79061840826014085</v>
      </c>
      <c r="BL54" s="37">
        <f ca="1"/>
        <v>0.79517463236967223</v>
      </c>
      <c r="BM54" s="37">
        <f ca="1"/>
        <v>0.79840354859878127</v>
      </c>
      <c r="BN54" s="37">
        <f ca="1"/>
        <v>0.80139591049766401</v>
      </c>
      <c r="BO54" s="37">
        <f ca="1"/>
        <v>0.80474722193569992</v>
      </c>
      <c r="BP54" s="37">
        <f ca="1"/>
        <v>0.80769127029513221</v>
      </c>
      <c r="BQ54" s="37">
        <f ca="1"/>
        <v>0.81058346506728673</v>
      </c>
      <c r="BR54" s="37">
        <f ca="1"/>
        <v>0.81413623313651384</v>
      </c>
      <c r="BS54" s="37">
        <f ca="1"/>
        <v>0.81711984600171783</v>
      </c>
      <c r="BT54" s="37">
        <f ca="1"/>
        <v>0.82023702158850154</v>
      </c>
      <c r="BU54" s="37">
        <f ca="1"/>
        <v>0.82325508027491368</v>
      </c>
      <c r="BV54" s="37">
        <f ca="1"/>
        <v>0.8270760135592462</v>
      </c>
      <c r="BW54" s="37">
        <f ca="1"/>
        <v>0.83134282570623919</v>
      </c>
      <c r="BX54" s="37">
        <f ca="1"/>
        <v>0.83356893001680188</v>
      </c>
      <c r="BY54" s="37">
        <f ca="1"/>
        <v>0.83818318677320058</v>
      </c>
      <c r="BZ54" s="37">
        <f ca="1"/>
        <v>0.84098512713953277</v>
      </c>
      <c r="CA54" s="37">
        <f ca="1"/>
        <v>0.84447470551077286</v>
      </c>
      <c r="CB54" s="37">
        <f ca="1"/>
        <v>0.8465143076841154</v>
      </c>
      <c r="CC54" s="37">
        <f ca="1"/>
        <v>0.84831422293671221</v>
      </c>
      <c r="CD54" s="37">
        <f ca="1"/>
        <v>0.85264238026261008</v>
      </c>
      <c r="CE54" s="37">
        <f ca="1"/>
        <v>0.85784507448617775</v>
      </c>
      <c r="CF54" s="37">
        <f ca="1"/>
        <v>0.86189113243833537</v>
      </c>
      <c r="CG54" s="37">
        <f ca="1"/>
        <v>0.86510400123362619</v>
      </c>
      <c r="CH54" s="37">
        <f ca="1"/>
        <v>0.86825706598210983</v>
      </c>
      <c r="CI54" s="37">
        <f ca="1"/>
        <v>0.87300615958968908</v>
      </c>
      <c r="CJ54" s="37">
        <f ca="1"/>
        <v>0.8762010137317382</v>
      </c>
      <c r="CK54" s="37">
        <f ca="1"/>
        <v>0.87769309513619809</v>
      </c>
      <c r="CL54" s="37">
        <f ca="1"/>
        <v>0.88157976193810761</v>
      </c>
      <c r="CM54" s="37">
        <f ca="1"/>
        <v>0.88455259060474833</v>
      </c>
      <c r="CN54" s="37">
        <f ca="1"/>
        <v>0.88808370193587804</v>
      </c>
      <c r="CO54" s="37">
        <f ca="1"/>
        <v>0.8905482690376354</v>
      </c>
      <c r="CP54" s="37">
        <f ca="1"/>
        <v>0.89474579459725467</v>
      </c>
      <c r="CQ54" s="37">
        <f ca="1"/>
        <v>0.89854734079446819</v>
      </c>
      <c r="CR54" s="37">
        <f ca="1"/>
        <v>0.90209360415108708</v>
      </c>
      <c r="CS54" s="37">
        <f ca="1"/>
        <v>0.90647466543283362</v>
      </c>
      <c r="CT54" s="37">
        <f ca="1"/>
        <v>0.91019353207747911</v>
      </c>
      <c r="CU54" s="37">
        <f ca="1"/>
        <v>0.91454543185214932</v>
      </c>
      <c r="CV54" s="37">
        <f ca="1"/>
        <v>0.91806866602326931</v>
      </c>
      <c r="CW54" s="37">
        <f ca="1"/>
        <v>0.92121934608837808</v>
      </c>
      <c r="CX54" s="37">
        <f ca="1"/>
        <v>0.92458188278794906</v>
      </c>
      <c r="CY54" s="37">
        <f ca="1"/>
        <v>0.92738816178023742</v>
      </c>
      <c r="CZ54" s="37">
        <f ca="1"/>
        <v>0.93067223416132017</v>
      </c>
      <c r="DA54" s="37">
        <f ca="1"/>
        <v>0.93521172357984306</v>
      </c>
      <c r="DB54" s="37">
        <f ca="1"/>
        <v>0.93749606164462163</v>
      </c>
      <c r="DC54" s="37">
        <f ca="1"/>
        <v>0.94123525608925374</v>
      </c>
      <c r="DD54" s="37">
        <f ca="1"/>
        <v>0.94541136075653154</v>
      </c>
      <c r="DE54" s="37">
        <f ca="1"/>
        <v>0.94937947598709738</v>
      </c>
      <c r="DF54" s="37">
        <f ca="1"/>
        <v>0.95318344599616778</v>
      </c>
      <c r="DG54" s="37">
        <f ca="1"/>
        <v>0.95793647949355554</v>
      </c>
      <c r="DH54" s="37">
        <f ca="1"/>
        <v>0.96245104927639336</v>
      </c>
      <c r="DI54" s="37">
        <f ca="1"/>
        <v>0.96647191593435078</v>
      </c>
      <c r="DJ54" s="37">
        <f ca="1"/>
        <v>0.97032638417738359</v>
      </c>
      <c r="DK54" s="37">
        <f ca="1"/>
        <v>0.97407870153263687</v>
      </c>
      <c r="DL54" s="37">
        <f ca="1"/>
        <v>0.97853122844496132</v>
      </c>
      <c r="DM54" s="37">
        <f ca="1"/>
        <v>0.98296576032025862</v>
      </c>
      <c r="DN54" s="37">
        <f ca="1"/>
        <v>0.98729000400547962</v>
      </c>
      <c r="DO54" s="37">
        <f ca="1"/>
        <v>0.99156281694391069</v>
      </c>
      <c r="DP54" s="37">
        <f ca="1"/>
        <v>0.9957688399388489</v>
      </c>
      <c r="DQ54" s="37">
        <f ca="1"/>
        <v>1</v>
      </c>
    </row>
    <row r="55" spans="1:121" s="37" customFormat="1" x14ac:dyDescent="0.3">
      <c r="A55" s="37">
        <f ca="1"/>
        <v>0.64406656131390982</v>
      </c>
      <c r="B55" s="37">
        <f ca="1"/>
        <v>0.64482387552409104</v>
      </c>
      <c r="C55" s="37">
        <f ca="1"/>
        <v>0.64609805886366545</v>
      </c>
      <c r="D55" s="37">
        <f ca="1"/>
        <v>0.64717689753111007</v>
      </c>
      <c r="E55" s="37">
        <f ca="1"/>
        <v>0.64758768403211309</v>
      </c>
      <c r="F55" s="37">
        <f ca="1"/>
        <v>0.6484506141864731</v>
      </c>
      <c r="G55" s="37">
        <f ca="1"/>
        <v>0.64989030059775288</v>
      </c>
      <c r="H55" s="37">
        <f ca="1"/>
        <v>0.65213498003473902</v>
      </c>
      <c r="I55" s="37">
        <f ca="1"/>
        <v>0.65421077454838372</v>
      </c>
      <c r="J55" s="37">
        <f ca="1"/>
        <v>0.65566687571077753</v>
      </c>
      <c r="K55" s="37">
        <f ca="1"/>
        <v>0.65695978928420951</v>
      </c>
      <c r="L55" s="37">
        <f ca="1"/>
        <v>0.65970288738659344</v>
      </c>
      <c r="M55" s="37">
        <f ca="1"/>
        <v>0.66041153960759647</v>
      </c>
      <c r="N55" s="37">
        <f ca="1"/>
        <v>0.66240632433413915</v>
      </c>
      <c r="O55" s="37">
        <f ca="1"/>
        <v>0.66261967075630335</v>
      </c>
      <c r="P55" s="37">
        <f ca="1"/>
        <v>0.66561068224279551</v>
      </c>
      <c r="Q55" s="37">
        <f ca="1"/>
        <v>0.66666865018807642</v>
      </c>
      <c r="R55" s="37">
        <f ca="1"/>
        <v>0.66849010083597549</v>
      </c>
      <c r="S55" s="37">
        <f ca="1"/>
        <v>0.67112069192892432</v>
      </c>
      <c r="T55" s="37">
        <f ca="1"/>
        <v>0.67208995675658467</v>
      </c>
      <c r="U55" s="37">
        <f ca="1"/>
        <v>0.67518318152945833</v>
      </c>
      <c r="V55" s="37">
        <f ca="1"/>
        <v>0.67744899409191039</v>
      </c>
      <c r="W55" s="37">
        <f ca="1"/>
        <v>0.67980995767700414</v>
      </c>
      <c r="X55" s="37">
        <f ca="1"/>
        <v>0.68210843905744034</v>
      </c>
      <c r="Y55" s="37">
        <f ca="1"/>
        <v>0.68501823212474888</v>
      </c>
      <c r="Z55" s="37">
        <f ca="1"/>
        <v>0.68635983071795548</v>
      </c>
      <c r="AA55" s="37">
        <f ca="1"/>
        <v>0.68705157157716945</v>
      </c>
      <c r="AB55" s="37">
        <f ca="1"/>
        <v>0.68922273205426621</v>
      </c>
      <c r="AC55" s="37">
        <f ca="1"/>
        <v>0.69207897517546002</v>
      </c>
      <c r="AD55" s="37">
        <f ca="1"/>
        <v>0.69296090574135261</v>
      </c>
      <c r="AE55" s="37">
        <f ca="1"/>
        <v>0.69487611507391278</v>
      </c>
      <c r="AF55" s="37">
        <f ca="1"/>
        <v>0.69637611938586785</v>
      </c>
      <c r="AG55" s="37">
        <f ca="1"/>
        <v>0.69896627587956695</v>
      </c>
      <c r="AH55" s="37">
        <f ca="1"/>
        <v>0.70172405364740931</v>
      </c>
      <c r="AI55" s="37">
        <f ca="1"/>
        <v>0.70528192462598838</v>
      </c>
      <c r="AJ55" s="37">
        <f ca="1"/>
        <v>0.70816512705055468</v>
      </c>
      <c r="AK55" s="37">
        <f ca="1"/>
        <v>0.71168361602203734</v>
      </c>
      <c r="AL55" s="37">
        <f ca="1"/>
        <v>0.71509339978151698</v>
      </c>
      <c r="AM55" s="37">
        <f ca="1"/>
        <v>0.7183198917014888</v>
      </c>
      <c r="AN55" s="37">
        <f ca="1"/>
        <v>0.72117301217847118</v>
      </c>
      <c r="AO55" s="37">
        <f ca="1"/>
        <v>0.72425506912522808</v>
      </c>
      <c r="AP55" s="37">
        <f ca="1"/>
        <v>0.72651003173247442</v>
      </c>
      <c r="AQ55" s="37">
        <f ca="1"/>
        <v>0.72927990514472296</v>
      </c>
      <c r="AR55" s="37">
        <f ca="1"/>
        <v>0.73199008252301889</v>
      </c>
      <c r="AS55" s="37">
        <f ca="1"/>
        <v>0.73576203213428437</v>
      </c>
      <c r="AT55" s="37">
        <f ca="1"/>
        <v>0.73768248706720463</v>
      </c>
      <c r="AU55" s="37">
        <f ca="1"/>
        <v>0.74023821658864764</v>
      </c>
      <c r="AV55" s="37">
        <f ca="1"/>
        <v>0.74365549798914776</v>
      </c>
      <c r="AW55" s="37">
        <f ca="1"/>
        <v>0.74641110022683288</v>
      </c>
      <c r="AX55" s="37">
        <f ca="1"/>
        <v>0.74938284031896962</v>
      </c>
      <c r="AY55" s="37">
        <f ca="1"/>
        <v>0.75195625033211888</v>
      </c>
      <c r="AZ55" s="37">
        <f ca="1"/>
        <v>0.75525126200485027</v>
      </c>
      <c r="BA55" s="37">
        <f ca="1"/>
        <v>0.75741109618624847</v>
      </c>
      <c r="BB55" s="37">
        <f ca="1"/>
        <v>0.76200846266528877</v>
      </c>
      <c r="BC55" s="37">
        <f ca="1"/>
        <v>0.7650687645364902</v>
      </c>
      <c r="BD55" s="37">
        <f ca="1"/>
        <v>0.76852304141779426</v>
      </c>
      <c r="BE55" s="37">
        <f ca="1"/>
        <v>0.77284964096155429</v>
      </c>
      <c r="BF55" s="37">
        <f ca="1"/>
        <v>0.77486487792602332</v>
      </c>
      <c r="BG55" s="37">
        <f ca="1"/>
        <v>0.77794600203291342</v>
      </c>
      <c r="BH55" s="37">
        <f ca="1"/>
        <v>0.78171490397836241</v>
      </c>
      <c r="BI55" s="37">
        <f ca="1"/>
        <v>0.7822808697868231</v>
      </c>
      <c r="BJ55" s="37">
        <f ca="1"/>
        <v>0.7860910715746755</v>
      </c>
      <c r="BK55" s="37">
        <f ca="1"/>
        <v>0.79013544841146011</v>
      </c>
      <c r="BL55" s="37">
        <f ca="1"/>
        <v>0.79354418911906788</v>
      </c>
      <c r="BM55" s="37">
        <f ca="1"/>
        <v>0.79761601279948124</v>
      </c>
      <c r="BN55" s="37">
        <f ca="1"/>
        <v>0.80101296221198914</v>
      </c>
      <c r="BO55" s="37">
        <f ca="1"/>
        <v>0.80482332852777139</v>
      </c>
      <c r="BP55" s="37">
        <f ca="1"/>
        <v>0.80854343778271376</v>
      </c>
      <c r="BQ55" s="37">
        <f ca="1"/>
        <v>0.81342635613264169</v>
      </c>
      <c r="BR55" s="37">
        <f ca="1"/>
        <v>0.8170825586712317</v>
      </c>
      <c r="BS55" s="37">
        <f ca="1"/>
        <v>0.82095181968066244</v>
      </c>
      <c r="BT55" s="37">
        <f ca="1"/>
        <v>0.8237659735836077</v>
      </c>
      <c r="BU55" s="37">
        <f ca="1"/>
        <v>0.8280532796765453</v>
      </c>
      <c r="BV55" s="37">
        <f ca="1"/>
        <v>0.83083379880223207</v>
      </c>
      <c r="BW55" s="37">
        <f ca="1"/>
        <v>0.83269622113313113</v>
      </c>
      <c r="BX55" s="37">
        <f ca="1"/>
        <v>0.83726849823803273</v>
      </c>
      <c r="BY55" s="37">
        <f ca="1"/>
        <v>0.83942902424247601</v>
      </c>
      <c r="BZ55" s="37">
        <f ca="1"/>
        <v>0.84346248823746128</v>
      </c>
      <c r="CA55" s="37">
        <f ca="1"/>
        <v>0.84739067819780323</v>
      </c>
      <c r="CB55" s="37">
        <f ca="1"/>
        <v>0.84831943568857582</v>
      </c>
      <c r="CC55" s="37">
        <f ca="1"/>
        <v>0.85144030247300051</v>
      </c>
      <c r="CD55" s="37">
        <f ca="1"/>
        <v>0.85427144216328288</v>
      </c>
      <c r="CE55" s="37">
        <f ca="1"/>
        <v>0.8566701930384969</v>
      </c>
      <c r="CF55" s="37">
        <f ca="1"/>
        <v>0.85886649110479119</v>
      </c>
      <c r="CG55" s="37">
        <f ca="1"/>
        <v>0.86192034359195924</v>
      </c>
      <c r="CH55" s="37">
        <f ca="1"/>
        <v>0.86685681353574706</v>
      </c>
      <c r="CI55" s="37">
        <f ca="1"/>
        <v>0.87002366422194277</v>
      </c>
      <c r="CJ55" s="37">
        <f ca="1"/>
        <v>0.87413112050193398</v>
      </c>
      <c r="CK55" s="37">
        <f ca="1"/>
        <v>0.87590000677695301</v>
      </c>
      <c r="CL55" s="37">
        <f ca="1"/>
        <v>0.87993110464648261</v>
      </c>
      <c r="CM55" s="37">
        <f ca="1"/>
        <v>0.88491686385570967</v>
      </c>
      <c r="CN55" s="37">
        <f ca="1"/>
        <v>0.88855216428966377</v>
      </c>
      <c r="CO55" s="37">
        <f ca="1"/>
        <v>0.89194704124398183</v>
      </c>
      <c r="CP55" s="37">
        <f ca="1"/>
        <v>0.89522280261789744</v>
      </c>
      <c r="CQ55" s="37">
        <f ca="1"/>
        <v>0.89878788661157616</v>
      </c>
      <c r="CR55" s="37">
        <f ca="1"/>
        <v>0.90250731708259779</v>
      </c>
      <c r="CS55" s="37">
        <f ca="1"/>
        <v>0.90595246708686583</v>
      </c>
      <c r="CT55" s="37">
        <f ca="1"/>
        <v>0.91011113068456295</v>
      </c>
      <c r="CU55" s="37">
        <f ca="1"/>
        <v>0.91395645025981809</v>
      </c>
      <c r="CV55" s="37">
        <f ca="1"/>
        <v>0.91754070482555927</v>
      </c>
      <c r="CW55" s="37">
        <f ca="1"/>
        <v>0.92078051705753283</v>
      </c>
      <c r="CX55" s="37">
        <f ca="1"/>
        <v>0.92484692650436195</v>
      </c>
      <c r="CY55" s="37">
        <f ca="1"/>
        <v>0.92858842173421763</v>
      </c>
      <c r="CZ55" s="37">
        <f ca="1"/>
        <v>0.93147266479799185</v>
      </c>
      <c r="DA55" s="37">
        <f ca="1"/>
        <v>0.93388565235321652</v>
      </c>
      <c r="DB55" s="37">
        <f ca="1"/>
        <v>0.93761242906393261</v>
      </c>
      <c r="DC55" s="37">
        <f ca="1"/>
        <v>0.94084812610992163</v>
      </c>
      <c r="DD55" s="37">
        <f ca="1"/>
        <v>0.94494725083437581</v>
      </c>
      <c r="DE55" s="37">
        <f ca="1"/>
        <v>0.94986167796059517</v>
      </c>
      <c r="DF55" s="37">
        <f ca="1"/>
        <v>0.95383815158973151</v>
      </c>
      <c r="DG55" s="37">
        <f ca="1"/>
        <v>0.9578214290704643</v>
      </c>
      <c r="DH55" s="37">
        <f ca="1"/>
        <v>0.9623293482989711</v>
      </c>
      <c r="DI55" s="37">
        <f ca="1"/>
        <v>0.96612495788154507</v>
      </c>
      <c r="DJ55" s="37">
        <f ca="1"/>
        <v>0.96981139999189747</v>
      </c>
      <c r="DK55" s="37">
        <f ca="1"/>
        <v>0.97392972065640937</v>
      </c>
      <c r="DL55" s="37">
        <f ca="1"/>
        <v>0.978487155664578</v>
      </c>
      <c r="DM55" s="37">
        <f ca="1"/>
        <v>0.9827168229171851</v>
      </c>
      <c r="DN55" s="37">
        <f ca="1"/>
        <v>0.98691913984413604</v>
      </c>
      <c r="DO55" s="37">
        <f ca="1"/>
        <v>0.99129491506702805</v>
      </c>
      <c r="DP55" s="37">
        <f ca="1"/>
        <v>0.99564462814206578</v>
      </c>
      <c r="DQ55" s="37">
        <f ca="1"/>
        <v>1</v>
      </c>
    </row>
    <row r="56" spans="1:121" s="37" customFormat="1" x14ac:dyDescent="0.3"/>
    <row r="57" spans="1:121" s="37" customFormat="1" x14ac:dyDescent="0.3"/>
    <row r="58" spans="1:121" s="37" customFormat="1" x14ac:dyDescent="0.3"/>
    <row r="59" spans="1:121" s="37" customFormat="1" x14ac:dyDescent="0.3"/>
    <row r="60" spans="1:121" s="37" customFormat="1" x14ac:dyDescent="0.3"/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Unsmooth</vt:lpstr>
      <vt:lpstr>Carino</vt:lpstr>
      <vt:lpstr>Frongello</vt:lpstr>
      <vt:lpstr>CIR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Cheung Cheng</dc:creator>
  <cp:lastModifiedBy>Kai Cheung Cheng</cp:lastModifiedBy>
  <dcterms:created xsi:type="dcterms:W3CDTF">2026-01-17T01:03:49Z</dcterms:created>
  <dcterms:modified xsi:type="dcterms:W3CDTF">2026-01-30T23:27:12Z</dcterms:modified>
</cp:coreProperties>
</file>