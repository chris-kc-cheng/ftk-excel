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111\Dev\ftk-excel\"/>
    </mc:Choice>
  </mc:AlternateContent>
  <xr:revisionPtr revIDLastSave="0" documentId="13_ncr:1_{3CC0AACD-8750-4511-B8E2-174FED670DCD}" xr6:coauthVersionLast="47" xr6:coauthVersionMax="47" xr10:uidLastSave="{00000000-0000-0000-0000-000000000000}"/>
  <bookViews>
    <workbookView xWindow="18216" yWindow="432" windowWidth="24348" windowHeight="15360" activeTab="3" xr2:uid="{33B86A54-F699-4A69-991F-5C59CF7B3663}"/>
  </bookViews>
  <sheets>
    <sheet name="Unsmooth" sheetId="1" r:id="rId1"/>
    <sheet name="Carino" sheetId="2" r:id="rId2"/>
    <sheet name="Frongello" sheetId="3" r:id="rId3"/>
    <sheet name="CIR" sheetId="4" r:id="rId4"/>
  </sheets>
  <definedNames>
    <definedName name="Carino">_xlfn.LAMBDA(_xlpm.p,_xlpm.b,IF(_xlpm.p=_xlpm.b,1,(LN(1+_xlpm.p)-LN(1+_xlpm.b))/(_xlpm.p-_xlpm.b)))</definedName>
    <definedName name="P_Smoothed">OFFSET(Unsmooth!$B$14,0,0,1,COUNT(Unsmooth!$14:$14))</definedName>
    <definedName name="P_True">OFFSET(Unsmooth!$B$13,0,0,1,COUNT(Unsmooth!$13:$13))</definedName>
    <definedName name="P_Unsmoothed">OFFSET(Unsmooth!$B$15,0,0,1,COUNT(Unsmooth!$15:$15)+1)</definedName>
    <definedName name="Time">OFFSET(Unsmooth!$B$5,0,0,1,COUNT(Unsmooth!$5:$5))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4" l="1" a="1"/>
  <c r="A31" i="4" s="1"/>
  <c r="A30" i="4" a="1"/>
  <c r="A30" i="4" s="1"/>
  <c r="B5" i="3"/>
  <c r="A27" i="3" a="1"/>
  <c r="A27" i="3" s="1"/>
  <c r="B26" i="3" a="1"/>
  <c r="B26" i="3" s="1"/>
  <c r="B21" i="3" a="1"/>
  <c r="A21" i="3" a="1"/>
  <c r="B20" i="3" a="1"/>
  <c r="B20" i="3" s="1"/>
  <c r="B17" i="3" a="1"/>
  <c r="A15" i="3" a="1"/>
  <c r="B14" i="3" a="1"/>
  <c r="B14" i="3" s="1"/>
  <c r="B11" i="3" a="1"/>
  <c r="F12" i="2" a="1"/>
  <c r="F12" i="2" s="1"/>
  <c r="F5" i="2" a="1"/>
  <c r="F5" i="2" s="1"/>
  <c r="B25" i="2" a="1"/>
  <c r="B25" i="2" s="1"/>
  <c r="B28" i="2" a="1"/>
  <c r="B11" i="2" a="1"/>
  <c r="B11" i="2" s="1"/>
  <c r="B18" i="2" a="1"/>
  <c r="A29" i="2" a="1"/>
  <c r="A29" i="2" s="1"/>
  <c r="B19" i="2" a="1"/>
  <c r="A19" i="2" a="1"/>
  <c r="A19" i="2" s="1"/>
  <c r="A12" i="2" a="1"/>
  <c r="A12" i="2" s="1"/>
  <c r="B8" i="2" a="1"/>
  <c r="B15" i="2" a="1"/>
  <c r="A8" i="1" a="1"/>
  <c r="A51" i="4" l="1" a="1"/>
  <c r="B28" i="2"/>
  <c r="B21" i="3"/>
  <c r="A21" i="3"/>
  <c r="A15" i="3"/>
  <c r="B17" i="3"/>
  <c r="F17" i="3" s="1"/>
  <c r="B11" i="3"/>
  <c r="B29" i="2" a="1"/>
  <c r="B29" i="2" s="1"/>
  <c r="F29" i="2" s="1" a="1"/>
  <c r="F29" i="2" s="1"/>
  <c r="F32" i="2" s="1"/>
  <c r="B19" i="2"/>
  <c r="B22" i="2" s="1" a="1"/>
  <c r="B22" i="2" s="1"/>
  <c r="B18" i="2"/>
  <c r="B8" i="2"/>
  <c r="F8" i="2" s="1"/>
  <c r="F22" i="2" s="1"/>
  <c r="B15" i="2"/>
  <c r="F15" i="2"/>
  <c r="A8" i="1"/>
  <c r="C13" i="1" s="1" a="1"/>
  <c r="A51" i="4" l="1"/>
  <c r="A41" i="4" a="1"/>
  <c r="B23" i="3" a="1"/>
  <c r="B23" i="3" s="1"/>
  <c r="B27" i="3" a="1"/>
  <c r="B27" i="3" s="1"/>
  <c r="C27" i="3" s="1" a="1"/>
  <c r="C27" i="3" s="1"/>
  <c r="D27" i="3" s="1" a="1"/>
  <c r="D27" i="3" s="1"/>
  <c r="E27" i="3" s="1" a="1"/>
  <c r="E27" i="3" s="1"/>
  <c r="F11" i="3"/>
  <c r="F23" i="3" s="1"/>
  <c r="F9" i="3" a="1"/>
  <c r="F15" i="3" a="1"/>
  <c r="C13" i="1"/>
  <c r="B14" i="1" s="1" a="1"/>
  <c r="A41" i="4" l="1"/>
  <c r="F27" i="3" a="1"/>
  <c r="B29" i="3" a="1"/>
  <c r="B29" i="3" s="1"/>
  <c r="F15" i="3"/>
  <c r="F9" i="3"/>
  <c r="C15" i="1"/>
  <c r="B14" i="1"/>
  <c r="B5" i="1" s="1" a="1"/>
  <c r="F27" i="3" l="1"/>
  <c r="F29" i="3" s="1"/>
  <c r="B32" i="2" a="1"/>
  <c r="B5" i="1"/>
  <c r="C9" i="1" a="1"/>
  <c r="B32" i="2" l="1"/>
  <c r="C9" i="1"/>
  <c r="B3" i="1" l="1"/>
  <c r="D10" i="1" s="1" a="1"/>
  <c r="D10" i="1" l="1"/>
  <c r="D15" i="1" s="1" a="1"/>
  <c r="D1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<sst xmlns="http://schemas.openxmlformats.org/spreadsheetml/2006/main" count="61" uniqueCount="43">
  <si>
    <t>Smoothed</t>
  </si>
  <si>
    <t>Unsmoothed</t>
  </si>
  <si>
    <t>Decay</t>
  </si>
  <si>
    <t>Price</t>
  </si>
  <si>
    <t>True</t>
  </si>
  <si>
    <t>Return</t>
  </si>
  <si>
    <t>Autocorrelation</t>
  </si>
  <si>
    <t>Unsmoothing Returns</t>
  </si>
  <si>
    <t>Time</t>
  </si>
  <si>
    <t>Portfolio</t>
  </si>
  <si>
    <t>Benchmark</t>
  </si>
  <si>
    <t>Sector 1</t>
  </si>
  <si>
    <t>Sector 2</t>
  </si>
  <si>
    <t>Sector 3</t>
  </si>
  <si>
    <t>Total</t>
  </si>
  <si>
    <t>Q1</t>
  </si>
  <si>
    <t>Q2</t>
  </si>
  <si>
    <t>Q3</t>
  </si>
  <si>
    <t>Q4</t>
  </si>
  <si>
    <t>Carino Smoothing</t>
  </si>
  <si>
    <t>YTD</t>
  </si>
  <si>
    <t>Carino factors</t>
  </si>
  <si>
    <t>Active Return</t>
  </si>
  <si>
    <t>Active Return (Smoothed)</t>
  </si>
  <si>
    <t>Reference</t>
  </si>
  <si>
    <t>https://frongello.com/support/Works/LinkingSydney.pdf</t>
  </si>
  <si>
    <t>Frongello Linking Algorithm</t>
  </si>
  <si>
    <t>Allocation</t>
  </si>
  <si>
    <t>Selection</t>
  </si>
  <si>
    <t>Enter 0 for Frongello, 1 for Reverse Frongello, or 0.5 for Modified Frongello</t>
  </si>
  <si>
    <t>Years</t>
  </si>
  <si>
    <t>Scenarios</t>
  </si>
  <si>
    <t>a</t>
  </si>
  <si>
    <t>b</t>
  </si>
  <si>
    <t>Speed of mean reversion</t>
  </si>
  <si>
    <t>Long-term average rate</t>
  </si>
  <si>
    <t>Volatility</t>
  </si>
  <si>
    <t>σ</t>
  </si>
  <si>
    <t>r₀</t>
  </si>
  <si>
    <t>Initial rate</t>
  </si>
  <si>
    <t>Steps per year</t>
  </si>
  <si>
    <t>Cox–Ingersoll–Ross Model</t>
  </si>
  <si>
    <t>10 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</si>
</sst>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0.0"/>
    <numFmt numFmtId="166" formatCode="0.0000"/>
    <numFmt numFmtId="167" formatCode="0.000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65" fontId="0" fillId="0" borderId="0" xfId="1" quotePrefix="1" applyNumberFormat="1" applyFont="1"/>
    <xf numFmtId="0" fontId="2" fillId="0" borderId="0" xfId="0" applyFont="1"/>
    <xf numFmtId="2" fontId="0" fillId="0" borderId="0" xfId="0" applyNumberFormat="1"/>
    <xf numFmtId="164" fontId="0" fillId="2" borderId="0" xfId="1" applyNumberFormat="1" applyFont="1" applyFill="1"/>
    <xf numFmtId="2" fontId="0" fillId="2" borderId="0" xfId="0" applyNumberFormat="1" applyFill="1"/>
    <xf numFmtId="164" fontId="0" fillId="0" borderId="0" xfId="1" quotePrefix="1" applyNumberFormat="1" applyFont="1" applyFill="1"/>
    <xf numFmtId="164" fontId="0" fillId="0" borderId="0" xfId="1" applyNumberFormat="1" applyFont="1" applyFill="1"/>
    <xf numFmtId="0" fontId="3" fillId="0" borderId="0" xfId="0" applyFont="1"/>
    <xf numFmtId="0" fontId="4" fillId="0" borderId="0" xfId="0" applyFont="1"/>
    <xf numFmtId="9" fontId="0" fillId="0" borderId="0" xfId="1" applyFont="1"/>
    <xf numFmtId="9" fontId="2" fillId="0" borderId="0" xfId="1" applyFont="1"/>
    <xf numFmtId="9" fontId="3" fillId="0" borderId="0" xfId="1" applyFont="1"/>
    <xf numFmtId="9" fontId="0" fillId="0" borderId="2" xfId="1" applyFont="1" applyBorder="1"/>
    <xf numFmtId="166" fontId="0" fillId="0" borderId="0" xfId="1" applyNumberFormat="1" applyFont="1"/>
    <xf numFmtId="10" fontId="0" fillId="0" borderId="0" xfId="1" applyNumberFormat="1" applyFont="1"/>
    <xf numFmtId="10" fontId="0" fillId="0" borderId="2" xfId="1" applyNumberFormat="1" applyFont="1" applyBorder="1"/>
    <xf numFmtId="9" fontId="2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0" xfId="1" applyFont="1" applyAlignment="1">
      <alignment horizontal="center"/>
    </xf>
    <xf numFmtId="10" fontId="2" fillId="0" borderId="2" xfId="1" applyNumberFormat="1" applyFont="1" applyBorder="1"/>
    <xf numFmtId="9" fontId="4" fillId="0" borderId="0" xfId="1" applyFont="1"/>
    <xf numFmtId="9" fontId="1" fillId="0" borderId="0" xfId="1" applyFont="1"/>
    <xf numFmtId="9" fontId="1" fillId="0" borderId="1" xfId="1" applyFont="1" applyBorder="1" applyAlignment="1">
      <alignment horizontal="center"/>
    </xf>
    <xf numFmtId="10" fontId="1" fillId="0" borderId="0" xfId="1" applyNumberFormat="1" applyFont="1"/>
    <xf numFmtId="10" fontId="1" fillId="0" borderId="2" xfId="1" applyNumberFormat="1" applyFont="1" applyBorder="1"/>
    <xf numFmtId="10" fontId="1" fillId="0" borderId="1" xfId="1" applyNumberFormat="1" applyFont="1" applyBorder="1" applyAlignment="1">
      <alignment horizontal="center"/>
    </xf>
    <xf numFmtId="166" fontId="1" fillId="0" borderId="0" xfId="1" applyNumberFormat="1" applyFont="1"/>
    <xf numFmtId="10" fontId="0" fillId="0" borderId="0" xfId="0" applyNumberFormat="1"/>
    <xf numFmtId="0" fontId="5" fillId="0" borderId="0" xfId="0" applyFont="1"/>
    <xf numFmtId="0" fontId="0" fillId="2" borderId="0" xfId="0" applyFill="1"/>
    <xf numFmtId="164" fontId="0" fillId="2" borderId="0" xfId="0" applyNumberFormat="1" applyFill="1"/>
    <xf numFmtId="0" fontId="6" fillId="0" borderId="0" xfId="0" applyFont="1"/>
    <xf numFmtId="0" fontId="7" fillId="0" borderId="0" xfId="0" applyFont="1"/>
    <xf numFmtId="167" fontId="6" fillId="0" borderId="0" xfId="1" applyNumberFormat="1" applyFont="1"/>
    <xf numFmtId="166" fontId="6" fillId="0" borderId="0" xfId="0" applyNumberFormat="1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9" fontId="3" fillId="0" borderId="0" xfId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80B4A131-65E2-49EF-B7DF-06E3F95448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Unsmooth!$A$13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[0]!P_True</c:f>
              <c:numCache>
                <c:formatCode>0.0</c:formatCode>
                <c:ptCount val="13"/>
                <c:pt idx="0">
                  <c:v>100</c:v>
                </c:pt>
                <c:pt idx="1">
                  <c:v>102</c:v>
                </c:pt>
                <c:pt idx="2">
                  <c:v>107.10000000000001</c:v>
                </c:pt>
                <c:pt idx="3">
                  <c:v>85.68</c:v>
                </c:pt>
                <c:pt idx="4">
                  <c:v>77.112000000000009</c:v>
                </c:pt>
                <c:pt idx="5">
                  <c:v>88.67880000000001</c:v>
                </c:pt>
                <c:pt idx="6">
                  <c:v>110.84850000000002</c:v>
                </c:pt>
                <c:pt idx="7">
                  <c:v>140.77759500000002</c:v>
                </c:pt>
                <c:pt idx="8">
                  <c:v>119.66095575000001</c:v>
                </c:pt>
                <c:pt idx="9">
                  <c:v>113.6779079625</c:v>
                </c:pt>
                <c:pt idx="10">
                  <c:v>125.04569875875001</c:v>
                </c:pt>
                <c:pt idx="11">
                  <c:v>140.05118260980001</c:v>
                </c:pt>
                <c:pt idx="12">
                  <c:v>105.03838695735001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D-409E-BBDF-6C43D6DB026F}"/>
            </c:ext>
          </c:extLst>
        </c:ser>
        <c:ser>
          <c:idx val="1"/>
          <c:order val="1"/>
          <c:tx>
            <c:strRef>
              <c:f>Unsmooth!$A$14</c:f>
              <c:strCache>
                <c:ptCount val="1"/>
                <c:pt idx="0">
                  <c:v>Smoothed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[0]!P_Smoothed</c:f>
              <c:numCache>
                <c:formatCode>0.0</c:formatCode>
                <c:ptCount val="13"/>
                <c:pt idx="0">
                  <c:v>100</c:v>
                </c:pt>
                <c:pt idx="1">
                  <c:v>100.80000000000001</c:v>
                </c:pt>
                <c:pt idx="2">
                  <c:v>103.32000000000001</c:v>
                </c:pt>
                <c:pt idx="3">
                  <c:v>96.26400000000001</c:v>
                </c:pt>
                <c:pt idx="4">
                  <c:v>88.603200000000015</c:v>
                </c:pt>
                <c:pt idx="5">
                  <c:v>88.633440000000007</c:v>
                </c:pt>
                <c:pt idx="6">
                  <c:v>97.519464000000013</c:v>
                </c:pt>
                <c:pt idx="7">
                  <c:v>114.82271640000002</c:v>
                </c:pt>
                <c:pt idx="8">
                  <c:v>116.75801214000001</c:v>
                </c:pt>
                <c:pt idx="9">
                  <c:v>115.52597046900001</c:v>
                </c:pt>
                <c:pt idx="10">
                  <c:v>119.33386178490002</c:v>
                </c:pt>
                <c:pt idx="11">
                  <c:v>127.62079011486001</c:v>
                </c:pt>
                <c:pt idx="12">
                  <c:v>118.58782885185602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8D-409E-BBDF-6C43D6DB026F}"/>
            </c:ext>
          </c:extLst>
        </c:ser>
        <c:ser>
          <c:idx val="2"/>
          <c:order val="2"/>
          <c:tx>
            <c:strRef>
              <c:f>Unsmooth!$A$15</c:f>
              <c:strCache>
                <c:ptCount val="1"/>
                <c:pt idx="0">
                  <c:v>Unsmoothed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[0]!Time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[0]!P_Unsmoothed</c:f>
              <c:numCache>
                <c:formatCode>0.0</c:formatCode>
                <c:ptCount val="13"/>
                <c:pt idx="1">
                  <c:v>100.80000000000001</c:v>
                </c:pt>
                <c:pt idx="2">
                  <c:v>104.56008172862228</c:v>
                </c:pt>
                <c:pt idx="3">
                  <c:v>90.360211660280598</c:v>
                </c:pt>
                <c:pt idx="4">
                  <c:v>82.431077469522819</c:v>
                </c:pt>
                <c:pt idx="5">
                  <c:v>87.226819753081813</c:v>
                </c:pt>
                <c:pt idx="6">
                  <c:v>102.27877774203452</c:v>
                </c:pt>
                <c:pt idx="7">
                  <c:v>126.13890665752774</c:v>
                </c:pt>
                <c:pt idx="8">
                  <c:v>113.60678187104207</c:v>
                </c:pt>
                <c:pt idx="9">
                  <c:v>110.1547782632494</c:v>
                </c:pt>
                <c:pt idx="10">
                  <c:v>117.25433482750979</c:v>
                </c:pt>
                <c:pt idx="11">
                  <c:v>128.49246943635001</c:v>
                </c:pt>
                <c:pt idx="12">
                  <c:v>106.35901299105205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8D-409E-BBDF-6C43D6DB0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0336255"/>
        <c:axId val="1630338175"/>
      </c:lineChart>
      <c:catAx>
        <c:axId val="163033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338175"/>
        <c:crosses val="autoZero"/>
        <c:auto val="1"/>
        <c:lblAlgn val="ctr"/>
        <c:lblOffset val="100"/>
        <c:noMultiLvlLbl val="0"/>
      </c:catAx>
      <c:valAx>
        <c:axId val="163033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336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Simulated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CIR!$A$30:$DQ$30</c:f>
              <c:strCache>
                <c:ptCount val="121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</c:strCache>
            </c:strRef>
          </c:cat>
          <c:val>
            <c:numRef>
              <c:f>CIR!$A$41:$DQ$41</c:f>
              <c:numCache>
                <c:formatCode>0.0000%</c:formatCode>
                <c:ptCount val="121"/>
                <c:pt idx="0">
                  <c:v>2.0000000000000018E-2</c:v>
                </c:pt>
                <c:pt idx="1">
                  <c:v>2.1277717249225336E-2</c:v>
                </c:pt>
                <c:pt idx="2">
                  <c:v>2.2674668171384083E-2</c:v>
                </c:pt>
                <c:pt idx="3">
                  <c:v>2.3508949493334041E-2</c:v>
                </c:pt>
                <c:pt idx="4">
                  <c:v>2.4803891310321013E-2</c:v>
                </c:pt>
                <c:pt idx="5">
                  <c:v>2.6381081857260069E-2</c:v>
                </c:pt>
                <c:pt idx="6">
                  <c:v>2.7485872326958205E-2</c:v>
                </c:pt>
                <c:pt idx="7">
                  <c:v>2.8492062484498426E-2</c:v>
                </c:pt>
                <c:pt idx="8">
                  <c:v>2.930217944054081E-2</c:v>
                </c:pt>
                <c:pt idx="9">
                  <c:v>3.0757930882574946E-2</c:v>
                </c:pt>
                <c:pt idx="10">
                  <c:v>3.1543392944131332E-2</c:v>
                </c:pt>
                <c:pt idx="11">
                  <c:v>3.1591441267160958E-2</c:v>
                </c:pt>
                <c:pt idx="12">
                  <c:v>3.2228910979023917E-2</c:v>
                </c:pt>
                <c:pt idx="13">
                  <c:v>3.2821428528277075E-2</c:v>
                </c:pt>
                <c:pt idx="14">
                  <c:v>3.3448654883614148E-2</c:v>
                </c:pt>
                <c:pt idx="15">
                  <c:v>3.3687269075873605E-2</c:v>
                </c:pt>
                <c:pt idx="16">
                  <c:v>3.3850351176700988E-2</c:v>
                </c:pt>
                <c:pt idx="17">
                  <c:v>3.4622728251748169E-2</c:v>
                </c:pt>
                <c:pt idx="18">
                  <c:v>3.5510982946993064E-2</c:v>
                </c:pt>
                <c:pt idx="19">
                  <c:v>3.6017452846685449E-2</c:v>
                </c:pt>
                <c:pt idx="20">
                  <c:v>3.6692698378614219E-2</c:v>
                </c:pt>
                <c:pt idx="21">
                  <c:v>3.6561804680227405E-2</c:v>
                </c:pt>
                <c:pt idx="22">
                  <c:v>3.7224899321596894E-2</c:v>
                </c:pt>
                <c:pt idx="23">
                  <c:v>3.7665664227096274E-2</c:v>
                </c:pt>
                <c:pt idx="24">
                  <c:v>3.7035145262454661E-2</c:v>
                </c:pt>
                <c:pt idx="25">
                  <c:v>3.7122018815403779E-2</c:v>
                </c:pt>
                <c:pt idx="26">
                  <c:v>3.7603321408182566E-2</c:v>
                </c:pt>
                <c:pt idx="27">
                  <c:v>3.9294073789316819E-2</c:v>
                </c:pt>
                <c:pt idx="28">
                  <c:v>3.9032527133920247E-2</c:v>
                </c:pt>
                <c:pt idx="29">
                  <c:v>3.9490292162710938E-2</c:v>
                </c:pt>
                <c:pt idx="30">
                  <c:v>4.045902648176769E-2</c:v>
                </c:pt>
                <c:pt idx="31">
                  <c:v>4.0534013280101311E-2</c:v>
                </c:pt>
                <c:pt idx="32">
                  <c:v>4.0558833928483695E-2</c:v>
                </c:pt>
                <c:pt idx="33">
                  <c:v>4.0687219960456655E-2</c:v>
                </c:pt>
                <c:pt idx="34">
                  <c:v>4.1599952081544878E-2</c:v>
                </c:pt>
                <c:pt idx="35">
                  <c:v>4.1701565579139066E-2</c:v>
                </c:pt>
                <c:pt idx="36">
                  <c:v>4.2584556063986145E-2</c:v>
                </c:pt>
                <c:pt idx="37">
                  <c:v>4.2916027814700941E-2</c:v>
                </c:pt>
                <c:pt idx="38">
                  <c:v>4.2652914392599328E-2</c:v>
                </c:pt>
                <c:pt idx="39">
                  <c:v>4.3381421212388194E-2</c:v>
                </c:pt>
                <c:pt idx="40">
                  <c:v>4.4474445623392089E-2</c:v>
                </c:pt>
                <c:pt idx="41">
                  <c:v>4.4757286783819517E-2</c:v>
                </c:pt>
                <c:pt idx="42">
                  <c:v>4.5832727884177249E-2</c:v>
                </c:pt>
                <c:pt idx="43">
                  <c:v>4.5407690806893886E-2</c:v>
                </c:pt>
                <c:pt idx="44">
                  <c:v>4.6149423614917362E-2</c:v>
                </c:pt>
                <c:pt idx="45">
                  <c:v>4.6594141216739215E-2</c:v>
                </c:pt>
                <c:pt idx="46">
                  <c:v>4.605263684382277E-2</c:v>
                </c:pt>
                <c:pt idx="47">
                  <c:v>4.7132045070488404E-2</c:v>
                </c:pt>
                <c:pt idx="48">
                  <c:v>4.747442551586456E-2</c:v>
                </c:pt>
                <c:pt idx="49">
                  <c:v>4.6212817742696366E-2</c:v>
                </c:pt>
                <c:pt idx="50">
                  <c:v>4.6695698857008416E-2</c:v>
                </c:pt>
                <c:pt idx="51">
                  <c:v>4.5669851200430989E-2</c:v>
                </c:pt>
                <c:pt idx="52">
                  <c:v>4.5623867755050673E-2</c:v>
                </c:pt>
                <c:pt idx="53">
                  <c:v>4.6850119052468608E-2</c:v>
                </c:pt>
                <c:pt idx="54">
                  <c:v>4.7077583343099416E-2</c:v>
                </c:pt>
                <c:pt idx="55">
                  <c:v>4.7418559176119812E-2</c:v>
                </c:pt>
                <c:pt idx="56">
                  <c:v>4.7017330483801079E-2</c:v>
                </c:pt>
                <c:pt idx="57">
                  <c:v>4.6783852548468507E-2</c:v>
                </c:pt>
                <c:pt idx="58">
                  <c:v>4.630802757861896E-2</c:v>
                </c:pt>
                <c:pt idx="59">
                  <c:v>4.6893590792089102E-2</c:v>
                </c:pt>
                <c:pt idx="60">
                  <c:v>4.529238835082694E-2</c:v>
                </c:pt>
                <c:pt idx="61">
                  <c:v>4.5011972574272141E-2</c:v>
                </c:pt>
                <c:pt idx="62">
                  <c:v>4.4357234406031454E-2</c:v>
                </c:pt>
                <c:pt idx="63">
                  <c:v>4.4419849590555449E-2</c:v>
                </c:pt>
                <c:pt idx="64">
                  <c:v>4.5810934530486902E-2</c:v>
                </c:pt>
                <c:pt idx="65">
                  <c:v>4.6704412245088367E-2</c:v>
                </c:pt>
                <c:pt idx="66">
                  <c:v>4.7957186305496169E-2</c:v>
                </c:pt>
                <c:pt idx="67">
                  <c:v>4.7358668553540095E-2</c:v>
                </c:pt>
                <c:pt idx="68">
                  <c:v>4.775789320076762E-2</c:v>
                </c:pt>
                <c:pt idx="69">
                  <c:v>4.7775569286007569E-2</c:v>
                </c:pt>
                <c:pt idx="70">
                  <c:v>4.9162608970305E-2</c:v>
                </c:pt>
                <c:pt idx="71">
                  <c:v>4.8184115774430269E-2</c:v>
                </c:pt>
                <c:pt idx="72">
                  <c:v>4.8674429912446859E-2</c:v>
                </c:pt>
                <c:pt idx="73">
                  <c:v>4.8242847301302794E-2</c:v>
                </c:pt>
                <c:pt idx="74">
                  <c:v>4.7100843023099248E-2</c:v>
                </c:pt>
                <c:pt idx="75">
                  <c:v>4.7878673944350192E-2</c:v>
                </c:pt>
                <c:pt idx="76">
                  <c:v>4.8452590451351529E-2</c:v>
                </c:pt>
                <c:pt idx="77">
                  <c:v>4.7557264151487644E-2</c:v>
                </c:pt>
                <c:pt idx="78">
                  <c:v>4.8542472155028049E-2</c:v>
                </c:pt>
                <c:pt idx="79">
                  <c:v>4.857820063869589E-2</c:v>
                </c:pt>
                <c:pt idx="80">
                  <c:v>4.8699024540792335E-2</c:v>
                </c:pt>
                <c:pt idx="81">
                  <c:v>4.8733210466106902E-2</c:v>
                </c:pt>
                <c:pt idx="82">
                  <c:v>4.8827570357326211E-2</c:v>
                </c:pt>
                <c:pt idx="83">
                  <c:v>4.8586111960501777E-2</c:v>
                </c:pt>
                <c:pt idx="84">
                  <c:v>4.8092529090393521E-2</c:v>
                </c:pt>
                <c:pt idx="85">
                  <c:v>4.8219254369848086E-2</c:v>
                </c:pt>
                <c:pt idx="86">
                  <c:v>4.7143907754472192E-2</c:v>
                </c:pt>
                <c:pt idx="87">
                  <c:v>4.7447986889181282E-2</c:v>
                </c:pt>
                <c:pt idx="88">
                  <c:v>4.7932693090787737E-2</c:v>
                </c:pt>
                <c:pt idx="89">
                  <c:v>4.7851702309204658E-2</c:v>
                </c:pt>
                <c:pt idx="90">
                  <c:v>4.9086724164761897E-2</c:v>
                </c:pt>
                <c:pt idx="91">
                  <c:v>4.8672840067918388E-2</c:v>
                </c:pt>
                <c:pt idx="92">
                  <c:v>4.847800320361384E-2</c:v>
                </c:pt>
                <c:pt idx="93">
                  <c:v>4.7522732816386526E-2</c:v>
                </c:pt>
                <c:pt idx="94">
                  <c:v>4.7353726533543306E-2</c:v>
                </c:pt>
                <c:pt idx="95">
                  <c:v>4.7867321698824128E-2</c:v>
                </c:pt>
                <c:pt idx="96">
                  <c:v>4.6364912758595667E-2</c:v>
                </c:pt>
                <c:pt idx="97">
                  <c:v>4.5189199719869677E-2</c:v>
                </c:pt>
                <c:pt idx="98">
                  <c:v>4.4642010042891922E-2</c:v>
                </c:pt>
                <c:pt idx="99">
                  <c:v>4.3848835685409204E-2</c:v>
                </c:pt>
                <c:pt idx="100">
                  <c:v>4.482950835875199E-2</c:v>
                </c:pt>
                <c:pt idx="101">
                  <c:v>4.5831528704197488E-2</c:v>
                </c:pt>
                <c:pt idx="102">
                  <c:v>4.704789306989654E-2</c:v>
                </c:pt>
                <c:pt idx="103">
                  <c:v>4.8377996560526437E-2</c:v>
                </c:pt>
                <c:pt idx="104">
                  <c:v>4.8076489314532012E-2</c:v>
                </c:pt>
                <c:pt idx="105">
                  <c:v>4.7613788166822157E-2</c:v>
                </c:pt>
                <c:pt idx="106">
                  <c:v>4.8623322277312031E-2</c:v>
                </c:pt>
                <c:pt idx="107">
                  <c:v>5.0340277375288567E-2</c:v>
                </c:pt>
                <c:pt idx="108">
                  <c:v>4.9132021362266132E-2</c:v>
                </c:pt>
                <c:pt idx="109">
                  <c:v>4.9013883320614404E-2</c:v>
                </c:pt>
                <c:pt idx="110">
                  <c:v>4.9168012227961189E-2</c:v>
                </c:pt>
                <c:pt idx="111">
                  <c:v>4.8681398481826177E-2</c:v>
                </c:pt>
                <c:pt idx="112">
                  <c:v>4.9373188121990097E-2</c:v>
                </c:pt>
                <c:pt idx="113">
                  <c:v>5.0157150929611261E-2</c:v>
                </c:pt>
                <c:pt idx="114">
                  <c:v>5.1950312130548904E-2</c:v>
                </c:pt>
                <c:pt idx="115">
                  <c:v>5.2116219780580675E-2</c:v>
                </c:pt>
                <c:pt idx="116">
                  <c:v>5.2536717650919051E-2</c:v>
                </c:pt>
                <c:pt idx="117">
                  <c:v>5.2733551086355579E-2</c:v>
                </c:pt>
                <c:pt idx="118">
                  <c:v>5.2612903040811787E-2</c:v>
                </c:pt>
                <c:pt idx="119">
                  <c:v>5.2610030843769362E-2</c:v>
                </c:pt>
                <c:pt idx="120">
                  <c:v>5.269066377018583E-2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00-4EDE-BE9E-F92962D47D3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CIR!$A$30:$DQ$30</c:f>
              <c:strCache>
                <c:ptCount val="121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</c:strCache>
            </c:strRef>
          </c:cat>
          <c:val>
            <c:numRef>
              <c:f>CIR!$A$42:$DQ$42</c:f>
              <c:numCache>
                <c:formatCode>0.0000%</c:formatCode>
                <c:ptCount val="121"/>
                <c:pt idx="0">
                  <c:v>2.0000000000000018E-2</c:v>
                </c:pt>
                <c:pt idx="1">
                  <c:v>2.214648041527334E-2</c:v>
                </c:pt>
                <c:pt idx="2">
                  <c:v>2.3385512315489798E-2</c:v>
                </c:pt>
                <c:pt idx="3">
                  <c:v>2.4799895252805904E-2</c:v>
                </c:pt>
                <c:pt idx="4">
                  <c:v>2.5721804623201505E-2</c:v>
                </c:pt>
                <c:pt idx="5">
                  <c:v>2.6006827138193911E-2</c:v>
                </c:pt>
                <c:pt idx="6">
                  <c:v>2.7157718427532895E-2</c:v>
                </c:pt>
                <c:pt idx="7">
                  <c:v>2.8485425771023865E-2</c:v>
                </c:pt>
                <c:pt idx="8">
                  <c:v>3.008042332369909E-2</c:v>
                </c:pt>
                <c:pt idx="9">
                  <c:v>3.0592386013492012E-2</c:v>
                </c:pt>
                <c:pt idx="10">
                  <c:v>3.1494535640620658E-2</c:v>
                </c:pt>
                <c:pt idx="11">
                  <c:v>3.2499664354630253E-2</c:v>
                </c:pt>
                <c:pt idx="12">
                  <c:v>3.3631930971603774E-2</c:v>
                </c:pt>
                <c:pt idx="13">
                  <c:v>3.4038874753017812E-2</c:v>
                </c:pt>
                <c:pt idx="14">
                  <c:v>3.5502347353072672E-2</c:v>
                </c:pt>
                <c:pt idx="15">
                  <c:v>3.6626803282342912E-2</c:v>
                </c:pt>
                <c:pt idx="16">
                  <c:v>3.7430184743931338E-2</c:v>
                </c:pt>
                <c:pt idx="17">
                  <c:v>3.8686253714436347E-2</c:v>
                </c:pt>
                <c:pt idx="18">
                  <c:v>3.8583906586426853E-2</c:v>
                </c:pt>
                <c:pt idx="19">
                  <c:v>3.9078084885959097E-2</c:v>
                </c:pt>
                <c:pt idx="20">
                  <c:v>3.9235798853769044E-2</c:v>
                </c:pt>
                <c:pt idx="21">
                  <c:v>4.004942820121693E-2</c:v>
                </c:pt>
                <c:pt idx="22">
                  <c:v>4.0834521316589933E-2</c:v>
                </c:pt>
                <c:pt idx="23">
                  <c:v>4.0502869194193547E-2</c:v>
                </c:pt>
                <c:pt idx="24">
                  <c:v>4.0914528375490811E-2</c:v>
                </c:pt>
                <c:pt idx="25">
                  <c:v>4.2582565192434529E-2</c:v>
                </c:pt>
                <c:pt idx="26">
                  <c:v>4.204090236872271E-2</c:v>
                </c:pt>
                <c:pt idx="27">
                  <c:v>4.2315249740531025E-2</c:v>
                </c:pt>
                <c:pt idx="28">
                  <c:v>4.1921624089716891E-2</c:v>
                </c:pt>
                <c:pt idx="29">
                  <c:v>4.2212502316153699E-2</c:v>
                </c:pt>
                <c:pt idx="30">
                  <c:v>4.2777853339069694E-2</c:v>
                </c:pt>
                <c:pt idx="31">
                  <c:v>4.2337859607469941E-2</c:v>
                </c:pt>
                <c:pt idx="32">
                  <c:v>4.1872859607202217E-2</c:v>
                </c:pt>
                <c:pt idx="33">
                  <c:v>4.1404055625116731E-2</c:v>
                </c:pt>
                <c:pt idx="34">
                  <c:v>4.2239491971653331E-2</c:v>
                </c:pt>
                <c:pt idx="35">
                  <c:v>4.2641172636893598E-2</c:v>
                </c:pt>
                <c:pt idx="36">
                  <c:v>4.3003796591717602E-2</c:v>
                </c:pt>
                <c:pt idx="37">
                  <c:v>4.357320656137964E-2</c:v>
                </c:pt>
                <c:pt idx="38">
                  <c:v>4.3285367938204145E-2</c:v>
                </c:pt>
                <c:pt idx="39">
                  <c:v>4.3902411779330297E-2</c:v>
                </c:pt>
                <c:pt idx="40">
                  <c:v>4.3757931297165209E-2</c:v>
                </c:pt>
                <c:pt idx="41">
                  <c:v>4.4182450790966499E-2</c:v>
                </c:pt>
                <c:pt idx="42">
                  <c:v>4.3830810193445258E-2</c:v>
                </c:pt>
                <c:pt idx="43">
                  <c:v>4.4012698619566359E-2</c:v>
                </c:pt>
                <c:pt idx="44">
                  <c:v>4.5230970624243971E-2</c:v>
                </c:pt>
                <c:pt idx="45">
                  <c:v>4.5317249292017081E-2</c:v>
                </c:pt>
                <c:pt idx="46">
                  <c:v>4.4656696349222091E-2</c:v>
                </c:pt>
                <c:pt idx="47">
                  <c:v>4.3975403527593215E-2</c:v>
                </c:pt>
                <c:pt idx="48">
                  <c:v>4.4175687580013223E-2</c:v>
                </c:pt>
                <c:pt idx="49">
                  <c:v>4.4354299927270802E-2</c:v>
                </c:pt>
                <c:pt idx="50">
                  <c:v>4.4226698063037695E-2</c:v>
                </c:pt>
                <c:pt idx="51">
                  <c:v>4.3893243293007256E-2</c:v>
                </c:pt>
                <c:pt idx="52">
                  <c:v>4.4701949456608547E-2</c:v>
                </c:pt>
                <c:pt idx="53">
                  <c:v>4.5668300785973948E-2</c:v>
                </c:pt>
                <c:pt idx="54">
                  <c:v>4.5783843820210279E-2</c:v>
                </c:pt>
                <c:pt idx="55">
                  <c:v>4.45555006091225E-2</c:v>
                </c:pt>
                <c:pt idx="56">
                  <c:v>4.4651997039971025E-2</c:v>
                </c:pt>
                <c:pt idx="57">
                  <c:v>4.4125463454487646E-2</c:v>
                </c:pt>
                <c:pt idx="58">
                  <c:v>4.4118988787474445E-2</c:v>
                </c:pt>
                <c:pt idx="59">
                  <c:v>4.4596083849498314E-2</c:v>
                </c:pt>
                <c:pt idx="60">
                  <c:v>4.5620765550750342E-2</c:v>
                </c:pt>
                <c:pt idx="61">
                  <c:v>4.5005369483903657E-2</c:v>
                </c:pt>
                <c:pt idx="62">
                  <c:v>4.5147645029326444E-2</c:v>
                </c:pt>
                <c:pt idx="63">
                  <c:v>4.6136652069447281E-2</c:v>
                </c:pt>
                <c:pt idx="64">
                  <c:v>4.6701927152581701E-2</c:v>
                </c:pt>
                <c:pt idx="65">
                  <c:v>4.8046908644107988E-2</c:v>
                </c:pt>
                <c:pt idx="66">
                  <c:v>4.865877878286673E-2</c:v>
                </c:pt>
                <c:pt idx="67">
                  <c:v>4.9353275556025755E-2</c:v>
                </c:pt>
                <c:pt idx="68">
                  <c:v>4.837891747263523E-2</c:v>
                </c:pt>
                <c:pt idx="69">
                  <c:v>4.8603511999296023E-2</c:v>
                </c:pt>
                <c:pt idx="70">
                  <c:v>4.7957680455530394E-2</c:v>
                </c:pt>
                <c:pt idx="71">
                  <c:v>4.7902400252634481E-2</c:v>
                </c:pt>
                <c:pt idx="72">
                  <c:v>4.8411150229031197E-2</c:v>
                </c:pt>
                <c:pt idx="73">
                  <c:v>4.8985650514109969E-2</c:v>
                </c:pt>
                <c:pt idx="74">
                  <c:v>4.990926218015157E-2</c:v>
                </c:pt>
                <c:pt idx="75">
                  <c:v>5.0091287938833107E-2</c:v>
                </c:pt>
                <c:pt idx="76">
                  <c:v>5.0560192084078803E-2</c:v>
                </c:pt>
                <c:pt idx="77">
                  <c:v>4.9216423218037653E-2</c:v>
                </c:pt>
                <c:pt idx="78">
                  <c:v>4.787302973897134E-2</c:v>
                </c:pt>
                <c:pt idx="79">
                  <c:v>4.8591842225122805E-2</c:v>
                </c:pt>
                <c:pt idx="80">
                  <c:v>4.8946120813841976E-2</c:v>
                </c:pt>
                <c:pt idx="81">
                  <c:v>4.9028558558004809E-2</c:v>
                </c:pt>
                <c:pt idx="82">
                  <c:v>4.8671603790001239E-2</c:v>
                </c:pt>
                <c:pt idx="83">
                  <c:v>4.8472054089576E-2</c:v>
                </c:pt>
                <c:pt idx="84">
                  <c:v>4.8851894122730277E-2</c:v>
                </c:pt>
                <c:pt idx="85">
                  <c:v>4.92531352626977E-2</c:v>
                </c:pt>
                <c:pt idx="86">
                  <c:v>4.917500070735259E-2</c:v>
                </c:pt>
                <c:pt idx="87">
                  <c:v>4.981524430366191E-2</c:v>
                </c:pt>
                <c:pt idx="88">
                  <c:v>4.9885955476083765E-2</c:v>
                </c:pt>
                <c:pt idx="89">
                  <c:v>4.9658886154091419E-2</c:v>
                </c:pt>
                <c:pt idx="90">
                  <c:v>4.8956035759369687E-2</c:v>
                </c:pt>
                <c:pt idx="91">
                  <c:v>4.7691502314801903E-2</c:v>
                </c:pt>
                <c:pt idx="92">
                  <c:v>4.744587181027593E-2</c:v>
                </c:pt>
                <c:pt idx="93">
                  <c:v>4.833911218011866E-2</c:v>
                </c:pt>
                <c:pt idx="94">
                  <c:v>4.9772795293195449E-2</c:v>
                </c:pt>
                <c:pt idx="95">
                  <c:v>5.0556456106168879E-2</c:v>
                </c:pt>
                <c:pt idx="96">
                  <c:v>5.0527891752051968E-2</c:v>
                </c:pt>
                <c:pt idx="97">
                  <c:v>5.0885736568674567E-2</c:v>
                </c:pt>
                <c:pt idx="98">
                  <c:v>5.0661832245943561E-2</c:v>
                </c:pt>
                <c:pt idx="99">
                  <c:v>5.1347720929070029E-2</c:v>
                </c:pt>
                <c:pt idx="100">
                  <c:v>5.1634037354375772E-2</c:v>
                </c:pt>
                <c:pt idx="101">
                  <c:v>5.1236820982215825E-2</c:v>
                </c:pt>
                <c:pt idx="102">
                  <c:v>5.0552309807028628E-2</c:v>
                </c:pt>
                <c:pt idx="103">
                  <c:v>5.0993982616401201E-2</c:v>
                </c:pt>
                <c:pt idx="104">
                  <c:v>5.2288648185338404E-2</c:v>
                </c:pt>
                <c:pt idx="105">
                  <c:v>5.1648055266360071E-2</c:v>
                </c:pt>
                <c:pt idx="106">
                  <c:v>5.1812452486108329E-2</c:v>
                </c:pt>
                <c:pt idx="107">
                  <c:v>5.180639060331016E-2</c:v>
                </c:pt>
                <c:pt idx="108">
                  <c:v>5.1149194796966446E-2</c:v>
                </c:pt>
                <c:pt idx="109">
                  <c:v>5.0660663346943746E-2</c:v>
                </c:pt>
                <c:pt idx="110">
                  <c:v>5.0767802872564216E-2</c:v>
                </c:pt>
                <c:pt idx="111">
                  <c:v>5.0774113112604269E-2</c:v>
                </c:pt>
                <c:pt idx="112">
                  <c:v>4.9504395831539316E-2</c:v>
                </c:pt>
                <c:pt idx="113">
                  <c:v>4.8734852490663894E-2</c:v>
                </c:pt>
                <c:pt idx="114">
                  <c:v>4.8993267019412645E-2</c:v>
                </c:pt>
                <c:pt idx="115">
                  <c:v>4.9365636959466164E-2</c:v>
                </c:pt>
                <c:pt idx="116">
                  <c:v>4.8987312302106956E-2</c:v>
                </c:pt>
                <c:pt idx="117">
                  <c:v>4.8797148859665684E-2</c:v>
                </c:pt>
                <c:pt idx="118">
                  <c:v>4.9383784835348665E-2</c:v>
                </c:pt>
                <c:pt idx="119">
                  <c:v>4.9170131010850104E-2</c:v>
                </c:pt>
                <c:pt idx="120">
                  <c:v>4.8351985365404637E-2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400-4EDE-BE9E-F92962D47D3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CIR!$A$30:$DQ$30</c:f>
              <c:strCache>
                <c:ptCount val="121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</c:strCache>
            </c:strRef>
          </c:cat>
          <c:val>
            <c:numRef>
              <c:f>CIR!$A$43:$DQ$43</c:f>
              <c:numCache>
                <c:formatCode>0.0000%</c:formatCode>
                <c:ptCount val="121"/>
                <c:pt idx="0">
                  <c:v>2.0000000000000018E-2</c:v>
                </c:pt>
                <c:pt idx="1">
                  <c:v>2.1274856926846164E-2</c:v>
                </c:pt>
                <c:pt idx="2">
                  <c:v>2.2051549572726925E-2</c:v>
                </c:pt>
                <c:pt idx="3">
                  <c:v>2.326674135667206E-2</c:v>
                </c:pt>
                <c:pt idx="4">
                  <c:v>2.4581236148275565E-2</c:v>
                </c:pt>
                <c:pt idx="5">
                  <c:v>2.5688241665152489E-2</c:v>
                </c:pt>
                <c:pt idx="6">
                  <c:v>2.7426500483589189E-2</c:v>
                </c:pt>
                <c:pt idx="7">
                  <c:v>2.8301799507086001E-2</c:v>
                </c:pt>
                <c:pt idx="8">
                  <c:v>2.8499003735498629E-2</c:v>
                </c:pt>
                <c:pt idx="9">
                  <c:v>2.9354906097303068E-2</c:v>
                </c:pt>
                <c:pt idx="10">
                  <c:v>3.0819672449788893E-2</c:v>
                </c:pt>
                <c:pt idx="11">
                  <c:v>3.1141066968648712E-2</c:v>
                </c:pt>
                <c:pt idx="12">
                  <c:v>3.2102866405736341E-2</c:v>
                </c:pt>
                <c:pt idx="13">
                  <c:v>3.3290767509482011E-2</c:v>
                </c:pt>
                <c:pt idx="14">
                  <c:v>3.4986418135433128E-2</c:v>
                </c:pt>
                <c:pt idx="15">
                  <c:v>3.6081701089891727E-2</c:v>
                </c:pt>
                <c:pt idx="16">
                  <c:v>3.6076554071146738E-2</c:v>
                </c:pt>
                <c:pt idx="17">
                  <c:v>3.7213990672532171E-2</c:v>
                </c:pt>
                <c:pt idx="18">
                  <c:v>3.7774738323625545E-2</c:v>
                </c:pt>
                <c:pt idx="19">
                  <c:v>3.8960676160540997E-2</c:v>
                </c:pt>
                <c:pt idx="20">
                  <c:v>3.9662620059688569E-2</c:v>
                </c:pt>
                <c:pt idx="21">
                  <c:v>4.010672087854994E-2</c:v>
                </c:pt>
                <c:pt idx="22">
                  <c:v>4.1060422954583009E-2</c:v>
                </c:pt>
                <c:pt idx="23">
                  <c:v>4.3085564855968261E-2</c:v>
                </c:pt>
                <c:pt idx="24">
                  <c:v>4.4119427568541036E-2</c:v>
                </c:pt>
                <c:pt idx="25">
                  <c:v>4.5632236641889312E-2</c:v>
                </c:pt>
                <c:pt idx="26">
                  <c:v>4.4967670961908901E-2</c:v>
                </c:pt>
                <c:pt idx="27">
                  <c:v>4.5084787660198522E-2</c:v>
                </c:pt>
                <c:pt idx="28">
                  <c:v>4.6569215323802871E-2</c:v>
                </c:pt>
                <c:pt idx="29">
                  <c:v>4.6769588762216152E-2</c:v>
                </c:pt>
                <c:pt idx="30">
                  <c:v>4.8165793876999263E-2</c:v>
                </c:pt>
                <c:pt idx="31">
                  <c:v>4.8484940788716901E-2</c:v>
                </c:pt>
                <c:pt idx="32">
                  <c:v>4.7174703783311456E-2</c:v>
                </c:pt>
                <c:pt idx="33">
                  <c:v>4.751745319768097E-2</c:v>
                </c:pt>
                <c:pt idx="34">
                  <c:v>4.682693292449569E-2</c:v>
                </c:pt>
                <c:pt idx="35">
                  <c:v>4.6754247833735718E-2</c:v>
                </c:pt>
                <c:pt idx="36">
                  <c:v>4.636857614329748E-2</c:v>
                </c:pt>
                <c:pt idx="37">
                  <c:v>4.6610784725793719E-2</c:v>
                </c:pt>
                <c:pt idx="38">
                  <c:v>4.6897055986260483E-2</c:v>
                </c:pt>
                <c:pt idx="39">
                  <c:v>4.8386180013113345E-2</c:v>
                </c:pt>
                <c:pt idx="40">
                  <c:v>4.8226161941704815E-2</c:v>
                </c:pt>
                <c:pt idx="41">
                  <c:v>4.7541676544450073E-2</c:v>
                </c:pt>
                <c:pt idx="42">
                  <c:v>4.7690947396295424E-2</c:v>
                </c:pt>
                <c:pt idx="43">
                  <c:v>4.7090899080937776E-2</c:v>
                </c:pt>
                <c:pt idx="44">
                  <c:v>4.746344520335577E-2</c:v>
                </c:pt>
                <c:pt idx="45">
                  <c:v>4.7865836567978715E-2</c:v>
                </c:pt>
                <c:pt idx="46">
                  <c:v>4.778482497783032E-2</c:v>
                </c:pt>
                <c:pt idx="47">
                  <c:v>4.7892533404059856E-2</c:v>
                </c:pt>
                <c:pt idx="48">
                  <c:v>4.7240031423646522E-2</c:v>
                </c:pt>
                <c:pt idx="49">
                  <c:v>4.7432946356475103E-2</c:v>
                </c:pt>
                <c:pt idx="50">
                  <c:v>4.6667074752709148E-2</c:v>
                </c:pt>
                <c:pt idx="51">
                  <c:v>4.7318287720543362E-2</c:v>
                </c:pt>
                <c:pt idx="52">
                  <c:v>4.7401430363042119E-2</c:v>
                </c:pt>
                <c:pt idx="53">
                  <c:v>4.9030797618816235E-2</c:v>
                </c:pt>
                <c:pt idx="54">
                  <c:v>4.8912386743435121E-2</c:v>
                </c:pt>
                <c:pt idx="55">
                  <c:v>4.9164325475967496E-2</c:v>
                </c:pt>
                <c:pt idx="56">
                  <c:v>4.8985241023882464E-2</c:v>
                </c:pt>
                <c:pt idx="57">
                  <c:v>4.8776520594487227E-2</c:v>
                </c:pt>
                <c:pt idx="58">
                  <c:v>4.945629280290853E-2</c:v>
                </c:pt>
                <c:pt idx="59">
                  <c:v>4.9696526160191601E-2</c:v>
                </c:pt>
                <c:pt idx="60">
                  <c:v>5.0746363453860965E-2</c:v>
                </c:pt>
                <c:pt idx="61">
                  <c:v>5.0823396246042485E-2</c:v>
                </c:pt>
                <c:pt idx="62">
                  <c:v>5.0364721345038665E-2</c:v>
                </c:pt>
                <c:pt idx="63">
                  <c:v>5.1060032167512981E-2</c:v>
                </c:pt>
                <c:pt idx="64">
                  <c:v>5.0555876410878664E-2</c:v>
                </c:pt>
                <c:pt idx="65">
                  <c:v>4.9143036515892469E-2</c:v>
                </c:pt>
                <c:pt idx="66">
                  <c:v>4.9233606098773919E-2</c:v>
                </c:pt>
                <c:pt idx="67">
                  <c:v>4.9794618792008416E-2</c:v>
                </c:pt>
                <c:pt idx="68">
                  <c:v>4.8204328785881545E-2</c:v>
                </c:pt>
                <c:pt idx="69">
                  <c:v>4.9269631288765714E-2</c:v>
                </c:pt>
                <c:pt idx="70">
                  <c:v>4.9415103355218593E-2</c:v>
                </c:pt>
                <c:pt idx="71">
                  <c:v>4.9506562668640619E-2</c:v>
                </c:pt>
                <c:pt idx="72">
                  <c:v>4.9275025352973678E-2</c:v>
                </c:pt>
                <c:pt idx="73">
                  <c:v>5.0204034565185962E-2</c:v>
                </c:pt>
                <c:pt idx="74">
                  <c:v>5.2492474088514429E-2</c:v>
                </c:pt>
                <c:pt idx="75">
                  <c:v>5.2575582986027714E-2</c:v>
                </c:pt>
                <c:pt idx="76">
                  <c:v>5.2635288781317513E-2</c:v>
                </c:pt>
                <c:pt idx="77">
                  <c:v>5.2945654478155468E-2</c:v>
                </c:pt>
                <c:pt idx="78">
                  <c:v>5.3478573814593311E-2</c:v>
                </c:pt>
                <c:pt idx="79">
                  <c:v>5.2636704900660636E-2</c:v>
                </c:pt>
                <c:pt idx="80">
                  <c:v>5.3211524327256177E-2</c:v>
                </c:pt>
                <c:pt idx="81">
                  <c:v>5.4660743434732817E-2</c:v>
                </c:pt>
                <c:pt idx="82">
                  <c:v>5.5409961715009448E-2</c:v>
                </c:pt>
                <c:pt idx="83">
                  <c:v>5.549177507365699E-2</c:v>
                </c:pt>
                <c:pt idx="84">
                  <c:v>5.5311019743743861E-2</c:v>
                </c:pt>
                <c:pt idx="85">
                  <c:v>5.5398241469883924E-2</c:v>
                </c:pt>
                <c:pt idx="86">
                  <c:v>5.5433670388498779E-2</c:v>
                </c:pt>
                <c:pt idx="87">
                  <c:v>5.4928629585126121E-2</c:v>
                </c:pt>
                <c:pt idx="88">
                  <c:v>5.411025869315389E-2</c:v>
                </c:pt>
                <c:pt idx="89">
                  <c:v>5.3767351304671918E-2</c:v>
                </c:pt>
                <c:pt idx="90">
                  <c:v>5.3549275858731482E-2</c:v>
                </c:pt>
                <c:pt idx="91">
                  <c:v>5.4921461411711281E-2</c:v>
                </c:pt>
                <c:pt idx="92">
                  <c:v>5.5925081988004832E-2</c:v>
                </c:pt>
                <c:pt idx="93">
                  <c:v>5.5877226702234939E-2</c:v>
                </c:pt>
                <c:pt idx="94">
                  <c:v>5.5159295394053176E-2</c:v>
                </c:pt>
                <c:pt idx="95">
                  <c:v>5.5373986678637799E-2</c:v>
                </c:pt>
                <c:pt idx="96">
                  <c:v>5.5450283096883268E-2</c:v>
                </c:pt>
                <c:pt idx="97">
                  <c:v>5.5276420298133733E-2</c:v>
                </c:pt>
                <c:pt idx="98">
                  <c:v>5.5288504830999452E-2</c:v>
                </c:pt>
                <c:pt idx="99">
                  <c:v>5.4127791952995663E-2</c:v>
                </c:pt>
                <c:pt idx="100">
                  <c:v>5.4965102033897706E-2</c:v>
                </c:pt>
                <c:pt idx="101">
                  <c:v>5.4620140951815221E-2</c:v>
                </c:pt>
                <c:pt idx="102">
                  <c:v>5.4453798819614541E-2</c:v>
                </c:pt>
                <c:pt idx="103">
                  <c:v>5.3361708793591589E-2</c:v>
                </c:pt>
                <c:pt idx="104">
                  <c:v>5.3844585407264001E-2</c:v>
                </c:pt>
                <c:pt idx="105">
                  <c:v>5.4143233681450464E-2</c:v>
                </c:pt>
                <c:pt idx="106">
                  <c:v>5.4829998397872615E-2</c:v>
                </c:pt>
                <c:pt idx="107">
                  <c:v>5.4261441976227953E-2</c:v>
                </c:pt>
                <c:pt idx="108">
                  <c:v>5.4382996357557722E-2</c:v>
                </c:pt>
                <c:pt idx="109">
                  <c:v>5.4730856887479362E-2</c:v>
                </c:pt>
                <c:pt idx="110">
                  <c:v>5.3484304208158084E-2</c:v>
                </c:pt>
                <c:pt idx="111">
                  <c:v>5.5121972919515816E-2</c:v>
                </c:pt>
                <c:pt idx="112">
                  <c:v>5.5571522516678851E-2</c:v>
                </c:pt>
                <c:pt idx="113">
                  <c:v>5.5155570629509709E-2</c:v>
                </c:pt>
                <c:pt idx="114">
                  <c:v>5.4127914926739518E-2</c:v>
                </c:pt>
                <c:pt idx="115">
                  <c:v>5.2848075436769504E-2</c:v>
                </c:pt>
                <c:pt idx="116">
                  <c:v>5.2896929196813103E-2</c:v>
                </c:pt>
                <c:pt idx="117">
                  <c:v>5.2971813715201987E-2</c:v>
                </c:pt>
                <c:pt idx="118">
                  <c:v>5.2921512303683027E-2</c:v>
                </c:pt>
                <c:pt idx="119">
                  <c:v>5.4166034428396514E-2</c:v>
                </c:pt>
                <c:pt idx="120">
                  <c:v>5.5690734261809594E-2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400-4EDE-BE9E-F92962D47D3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CIR!$A$30:$DQ$30</c:f>
              <c:strCache>
                <c:ptCount val="121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</c:strCache>
            </c:strRef>
          </c:cat>
          <c:val>
            <c:numRef>
              <c:f>CIR!$A$44:$DQ$44</c:f>
              <c:numCache>
                <c:formatCode>0.0000%</c:formatCode>
                <c:ptCount val="121"/>
                <c:pt idx="0">
                  <c:v>2.0000000000000018E-2</c:v>
                </c:pt>
                <c:pt idx="1">
                  <c:v>2.1036453589009962E-2</c:v>
                </c:pt>
                <c:pt idx="2">
                  <c:v>2.2418733938569746E-2</c:v>
                </c:pt>
                <c:pt idx="3">
                  <c:v>2.3469826386591786E-2</c:v>
                </c:pt>
                <c:pt idx="4">
                  <c:v>2.4374664957089731E-2</c:v>
                </c:pt>
                <c:pt idx="5">
                  <c:v>2.5644523985642653E-2</c:v>
                </c:pt>
                <c:pt idx="6">
                  <c:v>2.5993227850725997E-2</c:v>
                </c:pt>
                <c:pt idx="7">
                  <c:v>2.654110748342009E-2</c:v>
                </c:pt>
                <c:pt idx="8">
                  <c:v>2.7441661648261784E-2</c:v>
                </c:pt>
                <c:pt idx="9">
                  <c:v>2.7720009203709983E-2</c:v>
                </c:pt>
                <c:pt idx="10">
                  <c:v>2.8812956530173572E-2</c:v>
                </c:pt>
                <c:pt idx="11">
                  <c:v>3.0049725930813898E-2</c:v>
                </c:pt>
                <c:pt idx="12">
                  <c:v>3.1199738731191085E-2</c:v>
                </c:pt>
                <c:pt idx="13">
                  <c:v>3.1581139002166969E-2</c:v>
                </c:pt>
                <c:pt idx="14">
                  <c:v>3.2701713741958516E-2</c:v>
                </c:pt>
                <c:pt idx="15">
                  <c:v>3.3084821016273747E-2</c:v>
                </c:pt>
                <c:pt idx="16">
                  <c:v>3.3400412799510004E-2</c:v>
                </c:pt>
                <c:pt idx="17">
                  <c:v>3.3844614968524978E-2</c:v>
                </c:pt>
                <c:pt idx="18">
                  <c:v>3.4547212123896331E-2</c:v>
                </c:pt>
                <c:pt idx="19">
                  <c:v>3.51937071371351E-2</c:v>
                </c:pt>
                <c:pt idx="20">
                  <c:v>3.5858739537574902E-2</c:v>
                </c:pt>
                <c:pt idx="21">
                  <c:v>3.6105744136466944E-2</c:v>
                </c:pt>
                <c:pt idx="22">
                  <c:v>3.7140805280296618E-2</c:v>
                </c:pt>
                <c:pt idx="23">
                  <c:v>3.732353701193003E-2</c:v>
                </c:pt>
                <c:pt idx="24">
                  <c:v>3.7032220684903638E-2</c:v>
                </c:pt>
                <c:pt idx="25">
                  <c:v>3.6637934507058212E-2</c:v>
                </c:pt>
                <c:pt idx="26">
                  <c:v>3.7762376643396545E-2</c:v>
                </c:pt>
                <c:pt idx="27">
                  <c:v>3.7887127532998832E-2</c:v>
                </c:pt>
                <c:pt idx="28">
                  <c:v>3.7787546552557005E-2</c:v>
                </c:pt>
                <c:pt idx="29">
                  <c:v>3.7345408425353055E-2</c:v>
                </c:pt>
                <c:pt idx="30">
                  <c:v>3.8063126640326406E-2</c:v>
                </c:pt>
                <c:pt idx="31">
                  <c:v>3.8128812822358471E-2</c:v>
                </c:pt>
                <c:pt idx="32">
                  <c:v>3.7896231779000145E-2</c:v>
                </c:pt>
                <c:pt idx="33">
                  <c:v>3.8230953617225838E-2</c:v>
                </c:pt>
                <c:pt idx="34">
                  <c:v>3.8145749816715924E-2</c:v>
                </c:pt>
                <c:pt idx="35">
                  <c:v>3.8429965725060189E-2</c:v>
                </c:pt>
                <c:pt idx="36">
                  <c:v>3.9665070275342273E-2</c:v>
                </c:pt>
                <c:pt idx="37">
                  <c:v>4.1037672586350382E-2</c:v>
                </c:pt>
                <c:pt idx="38">
                  <c:v>4.2287541339390389E-2</c:v>
                </c:pt>
                <c:pt idx="39">
                  <c:v>4.3095638194314168E-2</c:v>
                </c:pt>
                <c:pt idx="40">
                  <c:v>4.3568019010174375E-2</c:v>
                </c:pt>
                <c:pt idx="41">
                  <c:v>4.3680040666606246E-2</c:v>
                </c:pt>
                <c:pt idx="42">
                  <c:v>4.4086877176643835E-2</c:v>
                </c:pt>
                <c:pt idx="43">
                  <c:v>4.517135769031988E-2</c:v>
                </c:pt>
                <c:pt idx="44">
                  <c:v>4.5021550268628641E-2</c:v>
                </c:pt>
                <c:pt idx="45">
                  <c:v>4.5185400341934967E-2</c:v>
                </c:pt>
                <c:pt idx="46">
                  <c:v>4.6676926619839687E-2</c:v>
                </c:pt>
                <c:pt idx="47">
                  <c:v>4.5865690112091073E-2</c:v>
                </c:pt>
                <c:pt idx="48">
                  <c:v>4.5928176089746975E-2</c:v>
                </c:pt>
                <c:pt idx="49">
                  <c:v>4.6246610468048788E-2</c:v>
                </c:pt>
                <c:pt idx="50">
                  <c:v>4.747084801901047E-2</c:v>
                </c:pt>
                <c:pt idx="51">
                  <c:v>4.7944581853253787E-2</c:v>
                </c:pt>
                <c:pt idx="52">
                  <c:v>4.705280351954455E-2</c:v>
                </c:pt>
                <c:pt idx="53">
                  <c:v>4.8151187032380305E-2</c:v>
                </c:pt>
                <c:pt idx="54">
                  <c:v>5.0064478510086774E-2</c:v>
                </c:pt>
                <c:pt idx="55">
                  <c:v>5.0018433230693882E-2</c:v>
                </c:pt>
                <c:pt idx="56">
                  <c:v>5.0343565335489782E-2</c:v>
                </c:pt>
                <c:pt idx="57">
                  <c:v>4.9849124372280063E-2</c:v>
                </c:pt>
                <c:pt idx="58">
                  <c:v>4.9637674797311293E-2</c:v>
                </c:pt>
                <c:pt idx="59">
                  <c:v>4.9626156959028389E-2</c:v>
                </c:pt>
                <c:pt idx="60">
                  <c:v>5.0614216594695671E-2</c:v>
                </c:pt>
                <c:pt idx="61">
                  <c:v>4.9898956547481443E-2</c:v>
                </c:pt>
                <c:pt idx="62">
                  <c:v>4.9315253791322622E-2</c:v>
                </c:pt>
                <c:pt idx="63">
                  <c:v>4.8877933887452762E-2</c:v>
                </c:pt>
                <c:pt idx="64">
                  <c:v>4.8543239544352135E-2</c:v>
                </c:pt>
                <c:pt idx="65">
                  <c:v>4.7750863596331294E-2</c:v>
                </c:pt>
                <c:pt idx="66">
                  <c:v>4.7364293051360917E-2</c:v>
                </c:pt>
                <c:pt idx="67">
                  <c:v>4.7382448605736593E-2</c:v>
                </c:pt>
                <c:pt idx="68">
                  <c:v>4.7530719206440697E-2</c:v>
                </c:pt>
                <c:pt idx="69">
                  <c:v>4.7467593105821493E-2</c:v>
                </c:pt>
                <c:pt idx="70">
                  <c:v>4.9086034798495604E-2</c:v>
                </c:pt>
                <c:pt idx="71">
                  <c:v>4.9967820689288622E-2</c:v>
                </c:pt>
                <c:pt idx="72">
                  <c:v>5.0195940384458959E-2</c:v>
                </c:pt>
                <c:pt idx="73">
                  <c:v>5.0556491807769E-2</c:v>
                </c:pt>
                <c:pt idx="74">
                  <c:v>5.0933659472735648E-2</c:v>
                </c:pt>
                <c:pt idx="75">
                  <c:v>4.9752766296329076E-2</c:v>
                </c:pt>
                <c:pt idx="76">
                  <c:v>4.9748059318542648E-2</c:v>
                </c:pt>
                <c:pt idx="77">
                  <c:v>4.936097593894484E-2</c:v>
                </c:pt>
                <c:pt idx="78">
                  <c:v>4.9874193476384887E-2</c:v>
                </c:pt>
                <c:pt idx="79">
                  <c:v>5.1297478710534916E-2</c:v>
                </c:pt>
                <c:pt idx="80">
                  <c:v>5.2326081961563853E-2</c:v>
                </c:pt>
                <c:pt idx="81">
                  <c:v>5.3347222337822853E-2</c:v>
                </c:pt>
                <c:pt idx="82">
                  <c:v>5.2691733850425804E-2</c:v>
                </c:pt>
                <c:pt idx="83">
                  <c:v>5.39852197995907E-2</c:v>
                </c:pt>
                <c:pt idx="84">
                  <c:v>5.4332201645525657E-2</c:v>
                </c:pt>
                <c:pt idx="85">
                  <c:v>5.4814028944765836E-2</c:v>
                </c:pt>
                <c:pt idx="86">
                  <c:v>5.4425861958829591E-2</c:v>
                </c:pt>
                <c:pt idx="87">
                  <c:v>5.3595967656950627E-2</c:v>
                </c:pt>
                <c:pt idx="88">
                  <c:v>5.357065336349609E-2</c:v>
                </c:pt>
                <c:pt idx="89">
                  <c:v>5.401932712560642E-2</c:v>
                </c:pt>
                <c:pt idx="90">
                  <c:v>5.2939577601763599E-2</c:v>
                </c:pt>
                <c:pt idx="91">
                  <c:v>5.3111131436219372E-2</c:v>
                </c:pt>
                <c:pt idx="92">
                  <c:v>5.2943683453691603E-2</c:v>
                </c:pt>
                <c:pt idx="93">
                  <c:v>5.3345654866131742E-2</c:v>
                </c:pt>
                <c:pt idx="94">
                  <c:v>5.2920589466107559E-2</c:v>
                </c:pt>
                <c:pt idx="95">
                  <c:v>5.2926130091711432E-2</c:v>
                </c:pt>
                <c:pt idx="96">
                  <c:v>5.3680628896276339E-2</c:v>
                </c:pt>
                <c:pt idx="97">
                  <c:v>5.3642611794837647E-2</c:v>
                </c:pt>
                <c:pt idx="98">
                  <c:v>5.4271801203208403E-2</c:v>
                </c:pt>
                <c:pt idx="99">
                  <c:v>5.4737432373099804E-2</c:v>
                </c:pt>
                <c:pt idx="100">
                  <c:v>5.4324104426294983E-2</c:v>
                </c:pt>
                <c:pt idx="101">
                  <c:v>5.3683330098944548E-2</c:v>
                </c:pt>
                <c:pt idx="102">
                  <c:v>5.4284274522963916E-2</c:v>
                </c:pt>
                <c:pt idx="103">
                  <c:v>5.4993874558080025E-2</c:v>
                </c:pt>
                <c:pt idx="104">
                  <c:v>5.4671158064454106E-2</c:v>
                </c:pt>
                <c:pt idx="105">
                  <c:v>5.3963431675368101E-2</c:v>
                </c:pt>
                <c:pt idx="106">
                  <c:v>5.4826588473707361E-2</c:v>
                </c:pt>
                <c:pt idx="107">
                  <c:v>5.4875286592713124E-2</c:v>
                </c:pt>
                <c:pt idx="108">
                  <c:v>5.4467919553321975E-2</c:v>
                </c:pt>
                <c:pt idx="109">
                  <c:v>5.4050304891066325E-2</c:v>
                </c:pt>
                <c:pt idx="110">
                  <c:v>5.2865470277073667E-2</c:v>
                </c:pt>
                <c:pt idx="111">
                  <c:v>5.3599773331695744E-2</c:v>
                </c:pt>
                <c:pt idx="112">
                  <c:v>5.2533742078187062E-2</c:v>
                </c:pt>
                <c:pt idx="113">
                  <c:v>5.2689289843735443E-2</c:v>
                </c:pt>
                <c:pt idx="114">
                  <c:v>5.2861745383316006E-2</c:v>
                </c:pt>
                <c:pt idx="115">
                  <c:v>5.3402626554893251E-2</c:v>
                </c:pt>
                <c:pt idx="116">
                  <c:v>5.3932693785048169E-2</c:v>
                </c:pt>
                <c:pt idx="117">
                  <c:v>5.4068274316718234E-2</c:v>
                </c:pt>
                <c:pt idx="118">
                  <c:v>5.3345156536200644E-2</c:v>
                </c:pt>
                <c:pt idx="119">
                  <c:v>5.3324773330908348E-2</c:v>
                </c:pt>
                <c:pt idx="120">
                  <c:v>5.3124593738353765E-2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400-4EDE-BE9E-F92962D47D3B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CIR!$A$30:$DQ$30</c:f>
              <c:strCache>
                <c:ptCount val="121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</c:strCache>
            </c:strRef>
          </c:cat>
          <c:val>
            <c:numRef>
              <c:f>CIR!$A$45:$DQ$45</c:f>
              <c:numCache>
                <c:formatCode>0.0000%</c:formatCode>
                <c:ptCount val="121"/>
                <c:pt idx="0">
                  <c:v>2.0000000000000018E-2</c:v>
                </c:pt>
                <c:pt idx="1">
                  <c:v>2.1262233725464652E-2</c:v>
                </c:pt>
                <c:pt idx="2">
                  <c:v>2.2911993988832258E-2</c:v>
                </c:pt>
                <c:pt idx="3">
                  <c:v>2.4499678692545102E-2</c:v>
                </c:pt>
                <c:pt idx="4">
                  <c:v>2.553756463980994E-2</c:v>
                </c:pt>
                <c:pt idx="5">
                  <c:v>2.5986651273889549E-2</c:v>
                </c:pt>
                <c:pt idx="6">
                  <c:v>2.744769203201014E-2</c:v>
                </c:pt>
                <c:pt idx="7">
                  <c:v>2.8316661667516563E-2</c:v>
                </c:pt>
                <c:pt idx="8">
                  <c:v>2.9033185228313219E-2</c:v>
                </c:pt>
                <c:pt idx="9">
                  <c:v>3.0134144493310089E-2</c:v>
                </c:pt>
                <c:pt idx="10">
                  <c:v>3.0076273527222419E-2</c:v>
                </c:pt>
                <c:pt idx="11">
                  <c:v>3.1468093000352582E-2</c:v>
                </c:pt>
                <c:pt idx="12">
                  <c:v>3.1619859138543038E-2</c:v>
                </c:pt>
                <c:pt idx="13">
                  <c:v>3.3428750495786863E-2</c:v>
                </c:pt>
                <c:pt idx="14">
                  <c:v>3.3138667232083918E-2</c:v>
                </c:pt>
                <c:pt idx="15">
                  <c:v>3.3870131448839658E-2</c:v>
                </c:pt>
                <c:pt idx="16">
                  <c:v>3.4151398524405963E-2</c:v>
                </c:pt>
                <c:pt idx="17">
                  <c:v>3.467349075362014E-2</c:v>
                </c:pt>
                <c:pt idx="18">
                  <c:v>3.5843556354938189E-2</c:v>
                </c:pt>
                <c:pt idx="19">
                  <c:v>3.6721475157174277E-2</c:v>
                </c:pt>
                <c:pt idx="20">
                  <c:v>3.6367672862871903E-2</c:v>
                </c:pt>
                <c:pt idx="21">
                  <c:v>3.7011117874703903E-2</c:v>
                </c:pt>
                <c:pt idx="22">
                  <c:v>3.8169633461357488E-2</c:v>
                </c:pt>
                <c:pt idx="23">
                  <c:v>3.8557728355361975E-2</c:v>
                </c:pt>
                <c:pt idx="24">
                  <c:v>3.8929414680507257E-2</c:v>
                </c:pt>
                <c:pt idx="25">
                  <c:v>3.9255028018693627E-2</c:v>
                </c:pt>
                <c:pt idx="26">
                  <c:v>4.0147116838267216E-2</c:v>
                </c:pt>
                <c:pt idx="27">
                  <c:v>4.0487251423530157E-2</c:v>
                </c:pt>
                <c:pt idx="28">
                  <c:v>4.1183901123000632E-2</c:v>
                </c:pt>
                <c:pt idx="29">
                  <c:v>4.1323822804264054E-2</c:v>
                </c:pt>
                <c:pt idx="30">
                  <c:v>4.2596512148504129E-2</c:v>
                </c:pt>
                <c:pt idx="31">
                  <c:v>4.1845015559323517E-2</c:v>
                </c:pt>
                <c:pt idx="32">
                  <c:v>4.1645242214659595E-2</c:v>
                </c:pt>
                <c:pt idx="33">
                  <c:v>4.1794212916528295E-2</c:v>
                </c:pt>
                <c:pt idx="34">
                  <c:v>4.2186279671446725E-2</c:v>
                </c:pt>
                <c:pt idx="35">
                  <c:v>4.2699382362179517E-2</c:v>
                </c:pt>
                <c:pt idx="36">
                  <c:v>4.3245310146958538E-2</c:v>
                </c:pt>
                <c:pt idx="37">
                  <c:v>4.535109003833715E-2</c:v>
                </c:pt>
                <c:pt idx="38">
                  <c:v>4.4596949949667453E-2</c:v>
                </c:pt>
                <c:pt idx="39">
                  <c:v>4.4834987782237379E-2</c:v>
                </c:pt>
                <c:pt idx="40">
                  <c:v>4.5021644103966585E-2</c:v>
                </c:pt>
                <c:pt idx="41">
                  <c:v>4.6207459826698827E-2</c:v>
                </c:pt>
                <c:pt idx="42">
                  <c:v>4.6789145983245239E-2</c:v>
                </c:pt>
                <c:pt idx="43">
                  <c:v>4.6817471673864741E-2</c:v>
                </c:pt>
                <c:pt idx="44">
                  <c:v>4.7887784733848804E-2</c:v>
                </c:pt>
                <c:pt idx="45">
                  <c:v>4.8311504071140154E-2</c:v>
                </c:pt>
                <c:pt idx="46">
                  <c:v>4.912106719794318E-2</c:v>
                </c:pt>
                <c:pt idx="47">
                  <c:v>4.8486989855980323E-2</c:v>
                </c:pt>
                <c:pt idx="48">
                  <c:v>4.9761854709582387E-2</c:v>
                </c:pt>
                <c:pt idx="49">
                  <c:v>5.0411613218838136E-2</c:v>
                </c:pt>
                <c:pt idx="50">
                  <c:v>5.2077453477031632E-2</c:v>
                </c:pt>
                <c:pt idx="51">
                  <c:v>5.3466690654133009E-2</c:v>
                </c:pt>
                <c:pt idx="52">
                  <c:v>5.2493731445129921E-2</c:v>
                </c:pt>
                <c:pt idx="53">
                  <c:v>5.2915620075769221E-2</c:v>
                </c:pt>
                <c:pt idx="54">
                  <c:v>5.2638422390827833E-2</c:v>
                </c:pt>
                <c:pt idx="55">
                  <c:v>5.2268135715025865E-2</c:v>
                </c:pt>
                <c:pt idx="56">
                  <c:v>5.1085200113839102E-2</c:v>
                </c:pt>
                <c:pt idx="57">
                  <c:v>5.0573444748818197E-2</c:v>
                </c:pt>
                <c:pt idx="58">
                  <c:v>4.9319529007683105E-2</c:v>
                </c:pt>
                <c:pt idx="59">
                  <c:v>4.9711452079727936E-2</c:v>
                </c:pt>
                <c:pt idx="60">
                  <c:v>5.0738922146895682E-2</c:v>
                </c:pt>
                <c:pt idx="61">
                  <c:v>5.0842167544913108E-2</c:v>
                </c:pt>
                <c:pt idx="62">
                  <c:v>5.0736624777918404E-2</c:v>
                </c:pt>
                <c:pt idx="63">
                  <c:v>5.0487953877697667E-2</c:v>
                </c:pt>
                <c:pt idx="64">
                  <c:v>5.0303385914314935E-2</c:v>
                </c:pt>
                <c:pt idx="65">
                  <c:v>4.9483126931257893E-2</c:v>
                </c:pt>
                <c:pt idx="66">
                  <c:v>4.9467666498833829E-2</c:v>
                </c:pt>
                <c:pt idx="67">
                  <c:v>5.0196681846732538E-2</c:v>
                </c:pt>
                <c:pt idx="68">
                  <c:v>5.0197786325622662E-2</c:v>
                </c:pt>
                <c:pt idx="69">
                  <c:v>5.0195710471645727E-2</c:v>
                </c:pt>
                <c:pt idx="70">
                  <c:v>5.085621096905224E-2</c:v>
                </c:pt>
                <c:pt idx="71">
                  <c:v>5.0611058513104323E-2</c:v>
                </c:pt>
                <c:pt idx="72">
                  <c:v>5.0161021022011143E-2</c:v>
                </c:pt>
                <c:pt idx="73">
                  <c:v>4.9324278526186927E-2</c:v>
                </c:pt>
                <c:pt idx="74">
                  <c:v>4.877256557138554E-2</c:v>
                </c:pt>
                <c:pt idx="75">
                  <c:v>4.901230370327414E-2</c:v>
                </c:pt>
                <c:pt idx="76">
                  <c:v>4.8731420763388211E-2</c:v>
                </c:pt>
                <c:pt idx="77">
                  <c:v>4.7689613744842374E-2</c:v>
                </c:pt>
                <c:pt idx="78">
                  <c:v>4.7298262863703977E-2</c:v>
                </c:pt>
                <c:pt idx="79">
                  <c:v>4.7836835078427953E-2</c:v>
                </c:pt>
                <c:pt idx="80">
                  <c:v>4.8150544623682512E-2</c:v>
                </c:pt>
                <c:pt idx="81">
                  <c:v>4.8039306612357668E-2</c:v>
                </c:pt>
                <c:pt idx="82">
                  <c:v>4.753837870184463E-2</c:v>
                </c:pt>
                <c:pt idx="83">
                  <c:v>4.688613498443317E-2</c:v>
                </c:pt>
                <c:pt idx="84">
                  <c:v>4.6993001412550583E-2</c:v>
                </c:pt>
                <c:pt idx="85">
                  <c:v>4.7031971092878821E-2</c:v>
                </c:pt>
                <c:pt idx="86">
                  <c:v>4.6709462964980908E-2</c:v>
                </c:pt>
                <c:pt idx="87">
                  <c:v>4.6701165276123557E-2</c:v>
                </c:pt>
                <c:pt idx="88">
                  <c:v>4.7113557289102159E-2</c:v>
                </c:pt>
                <c:pt idx="89">
                  <c:v>4.8048277375900339E-2</c:v>
                </c:pt>
                <c:pt idx="90">
                  <c:v>4.8072349350114063E-2</c:v>
                </c:pt>
                <c:pt idx="91">
                  <c:v>4.8044389433604229E-2</c:v>
                </c:pt>
                <c:pt idx="92">
                  <c:v>4.8512332896485821E-2</c:v>
                </c:pt>
                <c:pt idx="93">
                  <c:v>4.9303085634465615E-2</c:v>
                </c:pt>
                <c:pt idx="94">
                  <c:v>4.8744208033793424E-2</c:v>
                </c:pt>
                <c:pt idx="95">
                  <c:v>4.78496666082735E-2</c:v>
                </c:pt>
                <c:pt idx="96">
                  <c:v>4.7743810876631709E-2</c:v>
                </c:pt>
                <c:pt idx="97">
                  <c:v>4.8433577786615167E-2</c:v>
                </c:pt>
                <c:pt idx="98">
                  <c:v>4.7667060993596744E-2</c:v>
                </c:pt>
                <c:pt idx="99">
                  <c:v>4.8369922193518322E-2</c:v>
                </c:pt>
                <c:pt idx="100">
                  <c:v>4.8273289241431927E-2</c:v>
                </c:pt>
                <c:pt idx="101">
                  <c:v>4.939018354384217E-2</c:v>
                </c:pt>
                <c:pt idx="102">
                  <c:v>4.9439511616077736E-2</c:v>
                </c:pt>
                <c:pt idx="103">
                  <c:v>4.9880091469008514E-2</c:v>
                </c:pt>
                <c:pt idx="104">
                  <c:v>5.0377560840453306E-2</c:v>
                </c:pt>
                <c:pt idx="105">
                  <c:v>4.9933467208315818E-2</c:v>
                </c:pt>
                <c:pt idx="106">
                  <c:v>4.9995691913662377E-2</c:v>
                </c:pt>
                <c:pt idx="107">
                  <c:v>4.9259973406170054E-2</c:v>
                </c:pt>
                <c:pt idx="108">
                  <c:v>4.9187570954012605E-2</c:v>
                </c:pt>
                <c:pt idx="109">
                  <c:v>4.8772660932541179E-2</c:v>
                </c:pt>
                <c:pt idx="110">
                  <c:v>4.9537750322222962E-2</c:v>
                </c:pt>
                <c:pt idx="111">
                  <c:v>4.9685297319647548E-2</c:v>
                </c:pt>
                <c:pt idx="112">
                  <c:v>5.045694487592467E-2</c:v>
                </c:pt>
                <c:pt idx="113">
                  <c:v>5.0769738258315211E-2</c:v>
                </c:pt>
                <c:pt idx="114">
                  <c:v>5.1143248655586948E-2</c:v>
                </c:pt>
                <c:pt idx="115">
                  <c:v>5.0133689182081387E-2</c:v>
                </c:pt>
                <c:pt idx="116">
                  <c:v>5.1329468216820606E-2</c:v>
                </c:pt>
                <c:pt idx="117">
                  <c:v>5.1192738397124238E-2</c:v>
                </c:pt>
                <c:pt idx="118">
                  <c:v>5.005680257536449E-2</c:v>
                </c:pt>
                <c:pt idx="119">
                  <c:v>5.0449301776117172E-2</c:v>
                </c:pt>
                <c:pt idx="120">
                  <c:v>4.982761383793699E-2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3400-4EDE-BE9E-F92962D4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948848"/>
        <c:axId val="2136945968"/>
      </c:lineChart>
      <c:catAx>
        <c:axId val="213694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45968"/>
        <c:crosses val="autoZero"/>
        <c:auto val="1"/>
        <c:lblAlgn val="ctr"/>
        <c:lblOffset val="100"/>
        <c:noMultiLvlLbl val="0"/>
      </c:catAx>
      <c:valAx>
        <c:axId val="213694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Bond Pricing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CIR!$A$30:$DQ$30</c:f>
              <c:strCache>
                <c:ptCount val="121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</c:strCache>
            </c:strRef>
          </c:cat>
          <c:val>
            <c:numRef>
              <c:f>CIR!$A$51:$DQ$51</c:f>
              <c:numCache>
                <c:formatCode>0.0000</c:formatCode>
                <c:ptCount val="121"/>
                <c:pt idx="0">
                  <c:v>0.64406656131390982</c:v>
                </c:pt>
                <c:pt idx="1">
                  <c:v>0.64513843984089458</c:v>
                </c:pt>
                <c:pt idx="2">
                  <c:v>0.64606505617675747</c:v>
                </c:pt>
                <c:pt idx="3">
                  <c:v>0.64770201863265009</c:v>
                </c:pt>
                <c:pt idx="4">
                  <c:v>0.64876530562173396</c:v>
                </c:pt>
                <c:pt idx="5">
                  <c:v>0.64947870632483073</c:v>
                </c:pt>
                <c:pt idx="6">
                  <c:v>0.65078959268077918</c:v>
                </c:pt>
                <c:pt idx="7">
                  <c:v>0.65222907000311969</c:v>
                </c:pt>
                <c:pt idx="8">
                  <c:v>0.6539201577183591</c:v>
                </c:pt>
                <c:pt idx="9">
                  <c:v>0.6548039261479589</c:v>
                </c:pt>
                <c:pt idx="10">
                  <c:v>0.65653608386499496</c:v>
                </c:pt>
                <c:pt idx="11">
                  <c:v>0.65920522724451991</c:v>
                </c:pt>
                <c:pt idx="12">
                  <c:v>0.66113766305119692</c:v>
                </c:pt>
                <c:pt idx="13">
                  <c:v>0.66313359590888743</c:v>
                </c:pt>
                <c:pt idx="14">
                  <c:v>0.66509212051283317</c:v>
                </c:pt>
                <c:pt idx="15">
                  <c:v>0.66755249636270597</c:v>
                </c:pt>
                <c:pt idx="16">
                  <c:v>0.67011847904705391</c:v>
                </c:pt>
                <c:pt idx="17">
                  <c:v>0.67191297615621437</c:v>
                </c:pt>
                <c:pt idx="18">
                  <c:v>0.67356505815946477</c:v>
                </c:pt>
                <c:pt idx="19">
                  <c:v>0.67571330841922983</c:v>
                </c:pt>
                <c:pt idx="20">
                  <c:v>0.67765180003081971</c:v>
                </c:pt>
                <c:pt idx="21">
                  <c:v>0.68063722759416678</c:v>
                </c:pt>
                <c:pt idx="22">
                  <c:v>0.68260661944884238</c:v>
                </c:pt>
                <c:pt idx="23">
                  <c:v>0.68487113258882226</c:v>
                </c:pt>
                <c:pt idx="24">
                  <c:v>0.68853783350877662</c:v>
                </c:pt>
                <c:pt idx="25">
                  <c:v>0.69128390473450907</c:v>
                </c:pt>
                <c:pt idx="26">
                  <c:v>0.69352353002264611</c:v>
                </c:pt>
                <c:pt idx="27">
                  <c:v>0.69418654200267438</c:v>
                </c:pt>
                <c:pt idx="28">
                  <c:v>0.69741369845191015</c:v>
                </c:pt>
                <c:pt idx="29">
                  <c:v>0.69970735642227455</c:v>
                </c:pt>
                <c:pt idx="30">
                  <c:v>0.70133634029833614</c:v>
                </c:pt>
                <c:pt idx="31">
                  <c:v>0.7041505628615069</c:v>
                </c:pt>
                <c:pt idx="32">
                  <c:v>0.70704209244287275</c:v>
                </c:pt>
                <c:pt idx="33">
                  <c:v>0.70980741749317589</c:v>
                </c:pt>
                <c:pt idx="34">
                  <c:v>0.71154048271249293</c:v>
                </c:pt>
                <c:pt idx="35">
                  <c:v>0.71435993643128848</c:v>
                </c:pt>
                <c:pt idx="36">
                  <c:v>0.71614824081976347</c:v>
                </c:pt>
                <c:pt idx="37">
                  <c:v>0.71867994598929985</c:v>
                </c:pt>
                <c:pt idx="38">
                  <c:v>0.72201697323071878</c:v>
                </c:pt>
                <c:pt idx="39">
                  <c:v>0.72403711882664834</c:v>
                </c:pt>
                <c:pt idx="40">
                  <c:v>0.72557728850453984</c:v>
                </c:pt>
                <c:pt idx="41">
                  <c:v>0.7282122223923424</c:v>
                </c:pt>
                <c:pt idx="42">
                  <c:v>0.72979317756840645</c:v>
                </c:pt>
                <c:pt idx="43">
                  <c:v>0.73339906297322133</c:v>
                </c:pt>
                <c:pt idx="44">
                  <c:v>0.73544673627373991</c:v>
                </c:pt>
                <c:pt idx="45">
                  <c:v>0.73790417777030071</c:v>
                </c:pt>
                <c:pt idx="46">
                  <c:v>0.74170436008510698</c:v>
                </c:pt>
                <c:pt idx="47">
                  <c:v>0.7433249837993704</c:v>
                </c:pt>
                <c:pt idx="48">
                  <c:v>0.74595259268675806</c:v>
                </c:pt>
                <c:pt idx="49">
                  <c:v>0.75076862698103075</c:v>
                </c:pt>
                <c:pt idx="50">
                  <c:v>0.75322902207201026</c:v>
                </c:pt>
                <c:pt idx="51">
                  <c:v>0.75775900839110621</c:v>
                </c:pt>
                <c:pt idx="52">
                  <c:v>0.76096584216726793</c:v>
                </c:pt>
                <c:pt idx="53">
                  <c:v>0.76244272556663883</c:v>
                </c:pt>
                <c:pt idx="54">
                  <c:v>0.76529751397615442</c:v>
                </c:pt>
                <c:pt idx="55">
                  <c:v>0.76800878735224887</c:v>
                </c:pt>
                <c:pt idx="56">
                  <c:v>0.7717489072119621</c:v>
                </c:pt>
                <c:pt idx="57">
                  <c:v>0.77527275515609839</c:v>
                </c:pt>
                <c:pt idx="58">
                  <c:v>0.77914335467694973</c:v>
                </c:pt>
                <c:pt idx="59">
                  <c:v>0.78156621439006346</c:v>
                </c:pt>
                <c:pt idx="60">
                  <c:v>0.78701519391872354</c:v>
                </c:pt>
                <c:pt idx="61">
                  <c:v>0.79065706639896738</c:v>
                </c:pt>
                <c:pt idx="62">
                  <c:v>0.79483006352635954</c:v>
                </c:pt>
                <c:pt idx="63">
                  <c:v>0.79802147437919724</c:v>
                </c:pt>
                <c:pt idx="64">
                  <c:v>0.79938775848010435</c:v>
                </c:pt>
                <c:pt idx="65">
                  <c:v>0.80145920899785739</c:v>
                </c:pt>
                <c:pt idx="66">
                  <c:v>0.80305461036528725</c:v>
                </c:pt>
                <c:pt idx="67">
                  <c:v>0.80720473696538286</c:v>
                </c:pt>
                <c:pt idx="68">
                  <c:v>0.80999955082150399</c:v>
                </c:pt>
                <c:pt idx="69">
                  <c:v>0.81333037086521254</c:v>
                </c:pt>
                <c:pt idx="70">
                  <c:v>0.81480875766394989</c:v>
                </c:pt>
                <c:pt idx="71">
                  <c:v>0.81952256946153368</c:v>
                </c:pt>
                <c:pt idx="72">
                  <c:v>0.82225193936759544</c:v>
                </c:pt>
                <c:pt idx="73">
                  <c:v>0.82624510436696297</c:v>
                </c:pt>
                <c:pt idx="74">
                  <c:v>0.83120970897514079</c:v>
                </c:pt>
                <c:pt idx="75">
                  <c:v>0.83358959810860334</c:v>
                </c:pt>
                <c:pt idx="76">
                  <c:v>0.83626469592803998</c:v>
                </c:pt>
                <c:pt idx="77">
                  <c:v>0.84092162439847407</c:v>
                </c:pt>
                <c:pt idx="78">
                  <c:v>0.84307940326526787</c:v>
                </c:pt>
                <c:pt idx="79">
                  <c:v>0.84651932824319254</c:v>
                </c:pt>
                <c:pt idx="80">
                  <c:v>0.84986092755716525</c:v>
                </c:pt>
                <c:pt idx="81">
                  <c:v>0.85333067534849227</c:v>
                </c:pt>
                <c:pt idx="82">
                  <c:v>0.85673597565094206</c:v>
                </c:pt>
                <c:pt idx="83">
                  <c:v>0.86058914261152353</c:v>
                </c:pt>
                <c:pt idx="84">
                  <c:v>0.86477407370355264</c:v>
                </c:pt>
                <c:pt idx="85">
                  <c:v>0.86817337373823178</c:v>
                </c:pt>
                <c:pt idx="86">
                  <c:v>0.87310422985547109</c:v>
                </c:pt>
                <c:pt idx="87">
                  <c:v>0.87629792960845809</c:v>
                </c:pt>
                <c:pt idx="88">
                  <c:v>0.8792881297218883</c:v>
                </c:pt>
                <c:pt idx="89">
                  <c:v>0.88299507521815457</c:v>
                </c:pt>
                <c:pt idx="90">
                  <c:v>0.88512501187947712</c:v>
                </c:pt>
                <c:pt idx="91">
                  <c:v>0.88926731029252992</c:v>
                </c:pt>
                <c:pt idx="92">
                  <c:v>0.89315232317529991</c:v>
                </c:pt>
                <c:pt idx="93">
                  <c:v>0.89792276643892122</c:v>
                </c:pt>
                <c:pt idx="94">
                  <c:v>0.90177510729972565</c:v>
                </c:pt>
                <c:pt idx="95">
                  <c:v>0.90486835947435507</c:v>
                </c:pt>
                <c:pt idx="96">
                  <c:v>0.91020723537678327</c:v>
                </c:pt>
                <c:pt idx="97">
                  <c:v>0.91514114081461007</c:v>
                </c:pt>
                <c:pt idx="98">
                  <c:v>0.91936560169079751</c:v>
                </c:pt>
                <c:pt idx="99">
                  <c:v>0.92382334973005076</c:v>
                </c:pt>
                <c:pt idx="100">
                  <c:v>0.92646301601908931</c:v>
                </c:pt>
                <c:pt idx="101">
                  <c:v>0.92914497978685784</c:v>
                </c:pt>
                <c:pt idx="102">
                  <c:v>0.93169417793439369</c:v>
                </c:pt>
                <c:pt idx="103">
                  <c:v>0.93422812057260485</c:v>
                </c:pt>
                <c:pt idx="104">
                  <c:v>0.93828294050119931</c:v>
                </c:pt>
                <c:pt idx="105">
                  <c:v>0.9424619005830619</c:v>
                </c:pt>
                <c:pt idx="106">
                  <c:v>0.94544138394896882</c:v>
                </c:pt>
                <c:pt idx="107">
                  <c:v>0.94797701452831462</c:v>
                </c:pt>
                <c:pt idx="108">
                  <c:v>0.95275586553161473</c:v>
                </c:pt>
                <c:pt idx="109">
                  <c:v>0.95671249887656296</c:v>
                </c:pt>
                <c:pt idx="110">
                  <c:v>0.96049973933546884</c:v>
                </c:pt>
                <c:pt idx="111">
                  <c:v>0.96468159819616361</c:v>
                </c:pt>
                <c:pt idx="112">
                  <c:v>0.96820764755651278</c:v>
                </c:pt>
                <c:pt idx="113">
                  <c:v>0.97177583659283873</c:v>
                </c:pt>
                <c:pt idx="114">
                  <c:v>0.97503135537970331</c:v>
                </c:pt>
                <c:pt idx="115">
                  <c:v>0.97908625957512285</c:v>
                </c:pt>
                <c:pt idx="116">
                  <c:v>0.98310823649739676</c:v>
                </c:pt>
                <c:pt idx="117">
                  <c:v>0.98725522654798159</c:v>
                </c:pt>
                <c:pt idx="118">
                  <c:v>0.99149903464905953</c:v>
                </c:pt>
                <c:pt idx="119">
                  <c:v>0.99573855043303083</c:v>
                </c:pt>
                <c:pt idx="1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5-40C2-BFC9-1ED045C66B3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CIR!$A$30:$DQ$30</c:f>
              <c:strCache>
                <c:ptCount val="121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</c:strCache>
            </c:strRef>
          </c:cat>
          <c:val>
            <c:numRef>
              <c:f>CIR!$A$52:$DQ$52</c:f>
              <c:numCache>
                <c:formatCode>0.0000</c:formatCode>
                <c:ptCount val="121"/>
                <c:pt idx="0">
                  <c:v>0.64406656131390982</c:v>
                </c:pt>
                <c:pt idx="1">
                  <c:v>0.64405014552605322</c:v>
                </c:pt>
                <c:pt idx="2">
                  <c:v>0.6451745860631668</c:v>
                </c:pt>
                <c:pt idx="3">
                  <c:v>0.64608395636091331</c:v>
                </c:pt>
                <c:pt idx="4">
                  <c:v>0.64761411589173634</c:v>
                </c:pt>
                <c:pt idx="5">
                  <c:v>0.64994858975444236</c:v>
                </c:pt>
                <c:pt idx="6">
                  <c:v>0.65120180887676371</c:v>
                </c:pt>
                <c:pt idx="7">
                  <c:v>0.65223741010294289</c:v>
                </c:pt>
                <c:pt idx="8">
                  <c:v>0.65294189577179629</c:v>
                </c:pt>
                <c:pt idx="9">
                  <c:v>0.65501220531406923</c:v>
                </c:pt>
                <c:pt idx="10">
                  <c:v>0.65659763273155602</c:v>
                </c:pt>
                <c:pt idx="11">
                  <c:v>0.65805856751110103</c:v>
                </c:pt>
                <c:pt idx="12">
                  <c:v>0.65936428615497888</c:v>
                </c:pt>
                <c:pt idx="13">
                  <c:v>0.66159134067687986</c:v>
                </c:pt>
                <c:pt idx="14">
                  <c:v>0.66248883667451408</c:v>
                </c:pt>
                <c:pt idx="15">
                  <c:v>0.66382007100625195</c:v>
                </c:pt>
                <c:pt idx="16">
                  <c:v>0.66556293473860406</c:v>
                </c:pt>
                <c:pt idx="17">
                  <c:v>0.66673840858540756</c:v>
                </c:pt>
                <c:pt idx="18">
                  <c:v>0.66964241823734094</c:v>
                </c:pt>
                <c:pt idx="19">
                  <c:v>0.67179813932895838</c:v>
                </c:pt>
                <c:pt idx="20">
                  <c:v>0.67439111981650668</c:v>
                </c:pt>
                <c:pt idx="21">
                  <c:v>0.67615428887830775</c:v>
                </c:pt>
                <c:pt idx="22">
                  <c:v>0.67796044442958925</c:v>
                </c:pt>
                <c:pt idx="23">
                  <c:v>0.68120725122415127</c:v>
                </c:pt>
                <c:pt idx="24">
                  <c:v>0.68350952740688498</c:v>
                </c:pt>
                <c:pt idx="25">
                  <c:v>0.68420006041723702</c:v>
                </c:pt>
                <c:pt idx="26">
                  <c:v>0.68774713956648514</c:v>
                </c:pt>
                <c:pt idx="27">
                  <c:v>0.69025197562128981</c:v>
                </c:pt>
                <c:pt idx="28">
                  <c:v>0.69363539244944816</c:v>
                </c:pt>
                <c:pt idx="29">
                  <c:v>0.69613966362424928</c:v>
                </c:pt>
                <c:pt idx="30">
                  <c:v>0.69829430843031626</c:v>
                </c:pt>
                <c:pt idx="31">
                  <c:v>0.70177549800129435</c:v>
                </c:pt>
                <c:pt idx="32">
                  <c:v>0.70530554523701106</c:v>
                </c:pt>
                <c:pt idx="33">
                  <c:v>0.70885675380401136</c:v>
                </c:pt>
                <c:pt idx="34">
                  <c:v>0.71069189708048375</c:v>
                </c:pt>
                <c:pt idx="35">
                  <c:v>0.71311043136232155</c:v>
                </c:pt>
                <c:pt idx="36">
                  <c:v>0.71559010342987128</c:v>
                </c:pt>
                <c:pt idx="37">
                  <c:v>0.71780368080222445</c:v>
                </c:pt>
                <c:pt idx="38">
                  <c:v>0.72117068763122227</c:v>
                </c:pt>
                <c:pt idx="39">
                  <c:v>0.72333941700391524</c:v>
                </c:pt>
                <c:pt idx="40">
                  <c:v>0.72653808737163084</c:v>
                </c:pt>
                <c:pt idx="41">
                  <c:v>0.72898425902584274</c:v>
                </c:pt>
                <c:pt idx="42">
                  <c:v>0.73248587604121118</c:v>
                </c:pt>
                <c:pt idx="43">
                  <c:v>0.73528061132620459</c:v>
                </c:pt>
                <c:pt idx="44">
                  <c:v>0.73668506088700236</c:v>
                </c:pt>
                <c:pt idx="45">
                  <c:v>0.73962842130039885</c:v>
                </c:pt>
                <c:pt idx="46">
                  <c:v>0.74359665566865996</c:v>
                </c:pt>
                <c:pt idx="47">
                  <c:v>0.74761067671089598</c:v>
                </c:pt>
                <c:pt idx="48">
                  <c:v>0.75043683977112507</c:v>
                </c:pt>
                <c:pt idx="49">
                  <c:v>0.75330369434058297</c:v>
                </c:pt>
                <c:pt idx="50">
                  <c:v>0.75660125265019851</c:v>
                </c:pt>
                <c:pt idx="51">
                  <c:v>0.76019425442422706</c:v>
                </c:pt>
                <c:pt idx="52">
                  <c:v>0.76223022124712025</c:v>
                </c:pt>
                <c:pt idx="53">
                  <c:v>0.76406105426313486</c:v>
                </c:pt>
                <c:pt idx="54">
                  <c:v>0.76707067795231543</c:v>
                </c:pt>
                <c:pt idx="55">
                  <c:v>0.77194244665207434</c:v>
                </c:pt>
                <c:pt idx="56">
                  <c:v>0.77500364144225808</c:v>
                </c:pt>
                <c:pt idx="57">
                  <c:v>0.77893803627170421</c:v>
                </c:pt>
                <c:pt idx="58">
                  <c:v>0.78216592841954358</c:v>
                </c:pt>
                <c:pt idx="59">
                  <c:v>0.78473603615544218</c:v>
                </c:pt>
                <c:pt idx="60">
                  <c:v>0.78656156342278172</c:v>
                </c:pt>
                <c:pt idx="61">
                  <c:v>0.79066620207335003</c:v>
                </c:pt>
                <c:pt idx="62">
                  <c:v>0.7937355901280575</c:v>
                </c:pt>
                <c:pt idx="63">
                  <c:v>0.79564772915797366</c:v>
                </c:pt>
                <c:pt idx="64">
                  <c:v>0.79815936057068726</c:v>
                </c:pt>
                <c:pt idx="65">
                  <c:v>0.79961468857694384</c:v>
                </c:pt>
                <c:pt idx="66">
                  <c:v>0.80209368320340058</c:v>
                </c:pt>
                <c:pt idx="67">
                  <c:v>0.80447560248926664</c:v>
                </c:pt>
                <c:pt idx="68">
                  <c:v>0.8091501405329421</c:v>
                </c:pt>
                <c:pt idx="69">
                  <c:v>0.81219987042734354</c:v>
                </c:pt>
                <c:pt idx="70">
                  <c:v>0.81644970025845054</c:v>
                </c:pt>
                <c:pt idx="71">
                  <c:v>0.81990600454189111</c:v>
                </c:pt>
                <c:pt idx="72">
                  <c:v>0.82260901801764108</c:v>
                </c:pt>
                <c:pt idx="73">
                  <c:v>0.82524040651128483</c:v>
                </c:pt>
                <c:pt idx="74">
                  <c:v>0.82742093851364318</c:v>
                </c:pt>
                <c:pt idx="75">
                  <c:v>0.83061790642847544</c:v>
                </c:pt>
                <c:pt idx="76">
                  <c:v>0.83344795935302352</c:v>
                </c:pt>
                <c:pt idx="77">
                  <c:v>0.83870673973306675</c:v>
                </c:pt>
                <c:pt idx="78">
                  <c:v>0.84396953521867146</c:v>
                </c:pt>
                <c:pt idx="79">
                  <c:v>0.84650129467674984</c:v>
                </c:pt>
                <c:pt idx="80">
                  <c:v>0.84953620633785931</c:v>
                </c:pt>
                <c:pt idx="81">
                  <c:v>0.85294485447053281</c:v>
                </c:pt>
                <c:pt idx="82">
                  <c:v>0.85693849348095996</c:v>
                </c:pt>
                <c:pt idx="83">
                  <c:v>0.86073630081549246</c:v>
                </c:pt>
                <c:pt idx="84">
                  <c:v>0.86380155291423066</c:v>
                </c:pt>
                <c:pt idx="85">
                  <c:v>0.8668609006599719</c:v>
                </c:pt>
                <c:pt idx="86">
                  <c:v>0.8705450381183496</c:v>
                </c:pt>
                <c:pt idx="87">
                  <c:v>0.87334700512721763</c:v>
                </c:pt>
                <c:pt idx="88">
                  <c:v>0.87688001477244204</c:v>
                </c:pt>
                <c:pt idx="89">
                  <c:v>0.8807911407331841</c:v>
                </c:pt>
                <c:pt idx="90">
                  <c:v>0.8852823711888923</c:v>
                </c:pt>
                <c:pt idx="91">
                  <c:v>0.89043576797370294</c:v>
                </c:pt>
                <c:pt idx="92">
                  <c:v>0.89436454564162071</c:v>
                </c:pt>
                <c:pt idx="93">
                  <c:v>0.89697847487268501</c:v>
                </c:pt>
                <c:pt idx="94">
                  <c:v>0.89902688429109601</c:v>
                </c:pt>
                <c:pt idx="95">
                  <c:v>0.90187181881538392</c:v>
                </c:pt>
                <c:pt idx="96">
                  <c:v>0.90564978972764043</c:v>
                </c:pt>
                <c:pt idx="97">
                  <c:v>0.9090290031061331</c:v>
                </c:pt>
                <c:pt idx="98">
                  <c:v>0.91304681178892111</c:v>
                </c:pt>
                <c:pt idx="99">
                  <c:v>0.91614322770068146</c:v>
                </c:pt>
                <c:pt idx="100">
                  <c:v>0.91968736163612186</c:v>
                </c:pt>
                <c:pt idx="101">
                  <c:v>0.92392063817609849</c:v>
                </c:pt>
                <c:pt idx="102">
                  <c:v>0.92841486806815421</c:v>
                </c:pt>
                <c:pt idx="103">
                  <c:v>0.93186782519678091</c:v>
                </c:pt>
                <c:pt idx="104">
                  <c:v>0.93462779543284291</c:v>
                </c:pt>
                <c:pt idx="105">
                  <c:v>0.93910106491000289</c:v>
                </c:pt>
                <c:pt idx="106">
                  <c:v>0.94290709919228777</c:v>
                </c:pt>
                <c:pt idx="107">
                  <c:v>0.94687163958690934</c:v>
                </c:pt>
                <c:pt idx="108">
                  <c:v>0.95131678664378161</c:v>
                </c:pt>
                <c:pt idx="109">
                  <c:v>0.95560963940528532</c:v>
                </c:pt>
                <c:pt idx="110">
                  <c:v>0.95950288267765627</c:v>
                </c:pt>
                <c:pt idx="111">
                  <c:v>0.96347956588795958</c:v>
                </c:pt>
                <c:pt idx="112">
                  <c:v>0.96813902170852006</c:v>
                </c:pt>
                <c:pt idx="113">
                  <c:v>0.97244243466749591</c:v>
                </c:pt>
                <c:pt idx="114">
                  <c:v>0.97624635140415505</c:v>
                </c:pt>
                <c:pt idx="115">
                  <c:v>0.98005074981179829</c:v>
                </c:pt>
                <c:pt idx="116">
                  <c:v>0.98412839476485636</c:v>
                </c:pt>
                <c:pt idx="117">
                  <c:v>0.98812477492365525</c:v>
                </c:pt>
                <c:pt idx="118">
                  <c:v>0.99198629362824164</c:v>
                </c:pt>
                <c:pt idx="119">
                  <c:v>0.99600461959898534</c:v>
                </c:pt>
                <c:pt idx="1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5-40C2-BFC9-1ED045C66B3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CIR!$A$30:$DQ$30</c:f>
              <c:strCache>
                <c:ptCount val="121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</c:strCache>
            </c:strRef>
          </c:cat>
          <c:val>
            <c:numRef>
              <c:f>CIR!$A$53:$DQ$53</c:f>
              <c:numCache>
                <c:formatCode>0.0000</c:formatCode>
                <c:ptCount val="121"/>
                <c:pt idx="0">
                  <c:v>0.64406656131390982</c:v>
                </c:pt>
                <c:pt idx="1">
                  <c:v>0.64514202751496197</c:v>
                </c:pt>
                <c:pt idx="2">
                  <c:v>0.64684715405531756</c:v>
                </c:pt>
                <c:pt idx="3">
                  <c:v>0.64800627951409018</c:v>
                </c:pt>
                <c:pt idx="4">
                  <c:v>0.64904500971067269</c:v>
                </c:pt>
                <c:pt idx="5">
                  <c:v>0.65034898251512208</c:v>
                </c:pt>
                <c:pt idx="6">
                  <c:v>0.65086414455561581</c:v>
                </c:pt>
                <c:pt idx="7">
                  <c:v>0.65246822974520802</c:v>
                </c:pt>
                <c:pt idx="8">
                  <c:v>0.65493207380595309</c:v>
                </c:pt>
                <c:pt idx="9">
                  <c:v>0.65657229567007624</c:v>
                </c:pt>
                <c:pt idx="10">
                  <c:v>0.6574486930937864</c:v>
                </c:pt>
                <c:pt idx="11">
                  <c:v>0.65977495469986802</c:v>
                </c:pt>
                <c:pt idx="12">
                  <c:v>0.66129733123444223</c:v>
                </c:pt>
                <c:pt idx="13">
                  <c:v>0.6625383988060819</c:v>
                </c:pt>
                <c:pt idx="14">
                  <c:v>0.66314138898773245</c:v>
                </c:pt>
                <c:pt idx="15">
                  <c:v>0.66450982735592512</c:v>
                </c:pt>
                <c:pt idx="16">
                  <c:v>0.66728000578483704</c:v>
                </c:pt>
                <c:pt idx="17">
                  <c:v>0.66860625566062382</c:v>
                </c:pt>
                <c:pt idx="18">
                  <c:v>0.67067198901157643</c:v>
                </c:pt>
                <c:pt idx="19">
                  <c:v>0.67194769738207527</c:v>
                </c:pt>
                <c:pt idx="20">
                  <c:v>0.67384618285321785</c:v>
                </c:pt>
                <c:pt idx="21">
                  <c:v>0.6760810179140464</c:v>
                </c:pt>
                <c:pt idx="22">
                  <c:v>0.67767125968261566</c:v>
                </c:pt>
                <c:pt idx="23">
                  <c:v>0.67789769122278232</c:v>
                </c:pt>
                <c:pt idx="24">
                  <c:v>0.67939715170508264</c:v>
                </c:pt>
                <c:pt idx="25">
                  <c:v>0.68029138426637481</c:v>
                </c:pt>
                <c:pt idx="26">
                  <c:v>0.68397704262023806</c:v>
                </c:pt>
                <c:pt idx="27">
                  <c:v>0.68667464585624749</c:v>
                </c:pt>
                <c:pt idx="28">
                  <c:v>0.68762194147521949</c:v>
                </c:pt>
                <c:pt idx="29">
                  <c:v>0.6902284511424378</c:v>
                </c:pt>
                <c:pt idx="30">
                  <c:v>0.69130252878644227</c:v>
                </c:pt>
                <c:pt idx="31">
                  <c:v>0.69377219589185168</c:v>
                </c:pt>
                <c:pt idx="32">
                  <c:v>0.69836405086273201</c:v>
                </c:pt>
                <c:pt idx="33">
                  <c:v>0.70082692574037575</c:v>
                </c:pt>
                <c:pt idx="34">
                  <c:v>0.70464963837474903</c:v>
                </c:pt>
                <c:pt idx="35">
                  <c:v>0.70767957625285971</c:v>
                </c:pt>
                <c:pt idx="36">
                  <c:v>0.71113433468558185</c:v>
                </c:pt>
                <c:pt idx="37">
                  <c:v>0.71377442622499276</c:v>
                </c:pt>
                <c:pt idx="38">
                  <c:v>0.71636659937131975</c:v>
                </c:pt>
                <c:pt idx="39">
                  <c:v>0.71737678238838598</c:v>
                </c:pt>
                <c:pt idx="40">
                  <c:v>0.72057784274155434</c:v>
                </c:pt>
                <c:pt idx="41">
                  <c:v>0.72449015678291251</c:v>
                </c:pt>
                <c:pt idx="42">
                  <c:v>0.72730720532690885</c:v>
                </c:pt>
                <c:pt idx="43">
                  <c:v>0.73113850591170515</c:v>
                </c:pt>
                <c:pt idx="44">
                  <c:v>0.73368057894086303</c:v>
                </c:pt>
                <c:pt idx="45">
                  <c:v>0.73619302880058457</c:v>
                </c:pt>
                <c:pt idx="46">
                  <c:v>0.73936644317146816</c:v>
                </c:pt>
                <c:pt idx="47">
                  <c:v>0.74229808862501179</c:v>
                </c:pt>
                <c:pt idx="48">
                  <c:v>0.74626987251795251</c:v>
                </c:pt>
                <c:pt idx="49">
                  <c:v>0.74911141800628767</c:v>
                </c:pt>
                <c:pt idx="50">
                  <c:v>0.7532679859361372</c:v>
                </c:pt>
                <c:pt idx="51">
                  <c:v>0.75551010908454563</c:v>
                </c:pt>
                <c:pt idx="52">
                  <c:v>0.75853702512920118</c:v>
                </c:pt>
                <c:pt idx="53">
                  <c:v>0.75947036106009269</c:v>
                </c:pt>
                <c:pt idx="54">
                  <c:v>0.76279354565154001</c:v>
                </c:pt>
                <c:pt idx="55">
                  <c:v>0.76562530420901131</c:v>
                </c:pt>
                <c:pt idx="56">
                  <c:v>0.76905701931888115</c:v>
                </c:pt>
                <c:pt idx="57">
                  <c:v>0.77254272002621838</c:v>
                </c:pt>
                <c:pt idx="58">
                  <c:v>0.77482775730315379</c:v>
                </c:pt>
                <c:pt idx="59">
                  <c:v>0.77772573932562994</c:v>
                </c:pt>
                <c:pt idx="60">
                  <c:v>0.77953293758353759</c:v>
                </c:pt>
                <c:pt idx="61">
                  <c:v>0.78267956264968175</c:v>
                </c:pt>
                <c:pt idx="62">
                  <c:v>0.78656975844104693</c:v>
                </c:pt>
                <c:pt idx="63">
                  <c:v>0.7889008077995836</c:v>
                </c:pt>
                <c:pt idx="64">
                  <c:v>0.79287961049212252</c:v>
                </c:pt>
                <c:pt idx="65">
                  <c:v>0.79811356016040647</c:v>
                </c:pt>
                <c:pt idx="66">
                  <c:v>0.8013077136310166</c:v>
                </c:pt>
                <c:pt idx="67">
                  <c:v>0.80387367866334802</c:v>
                </c:pt>
                <c:pt idx="68">
                  <c:v>0.80938879453936396</c:v>
                </c:pt>
                <c:pt idx="69">
                  <c:v>0.81129211644331778</c:v>
                </c:pt>
                <c:pt idx="70">
                  <c:v>0.81446555263395437</c:v>
                </c:pt>
                <c:pt idx="71">
                  <c:v>0.81772639227272725</c:v>
                </c:pt>
                <c:pt idx="72">
                  <c:v>0.82143828405962149</c:v>
                </c:pt>
                <c:pt idx="73">
                  <c:v>0.82359662958328983</c:v>
                </c:pt>
                <c:pt idx="74">
                  <c:v>0.82396011932435997</c:v>
                </c:pt>
                <c:pt idx="75">
                  <c:v>0.82730136148619948</c:v>
                </c:pt>
                <c:pt idx="76">
                  <c:v>0.83068942157628556</c:v>
                </c:pt>
                <c:pt idx="77">
                  <c:v>0.83376235767515328</c:v>
                </c:pt>
                <c:pt idx="78">
                  <c:v>0.83656232132636987</c:v>
                </c:pt>
                <c:pt idx="79">
                  <c:v>0.84118133292756747</c:v>
                </c:pt>
                <c:pt idx="80">
                  <c:v>0.84396229185175531</c:v>
                </c:pt>
                <c:pt idx="81">
                  <c:v>0.84564120730202696</c:v>
                </c:pt>
                <c:pt idx="82">
                  <c:v>0.84825950170139131</c:v>
                </c:pt>
                <c:pt idx="83">
                  <c:v>0.85175551326964816</c:v>
                </c:pt>
                <c:pt idx="84">
                  <c:v>0.85560149359918514</c:v>
                </c:pt>
                <c:pt idx="85">
                  <c:v>0.85912709135087906</c:v>
                </c:pt>
                <c:pt idx="86">
                  <c:v>0.86273686127127269</c:v>
                </c:pt>
                <c:pt idx="87">
                  <c:v>0.86702918583981559</c:v>
                </c:pt>
                <c:pt idx="88">
                  <c:v>0.87170971182711232</c:v>
                </c:pt>
                <c:pt idx="89">
                  <c:v>0.87581513556965007</c:v>
                </c:pt>
                <c:pt idx="90">
                  <c:v>0.87978015146108035</c:v>
                </c:pt>
                <c:pt idx="91">
                  <c:v>0.88188841312795796</c:v>
                </c:pt>
                <c:pt idx="92">
                  <c:v>0.88448924330792411</c:v>
                </c:pt>
                <c:pt idx="93">
                  <c:v>0.88834028424018308</c:v>
                </c:pt>
                <c:pt idx="94">
                  <c:v>0.8929600061297216</c:v>
                </c:pt>
                <c:pt idx="95">
                  <c:v>0.89654735119127593</c:v>
                </c:pt>
                <c:pt idx="96">
                  <c:v>0.90031345693611409</c:v>
                </c:pt>
                <c:pt idx="97">
                  <c:v>0.90436823805812916</c:v>
                </c:pt>
                <c:pt idx="98">
                  <c:v>0.90824423576675095</c:v>
                </c:pt>
                <c:pt idx="99">
                  <c:v>0.91332602796323636</c:v>
                </c:pt>
                <c:pt idx="100">
                  <c:v>0.91640437374713901</c:v>
                </c:pt>
                <c:pt idx="101">
                  <c:v>0.92067910377921625</c:v>
                </c:pt>
                <c:pt idx="102">
                  <c:v>0.9247903393065956</c:v>
                </c:pt>
                <c:pt idx="103">
                  <c:v>0.92974170760941999</c:v>
                </c:pt>
                <c:pt idx="104">
                  <c:v>0.93328490563391675</c:v>
                </c:pt>
                <c:pt idx="105">
                  <c:v>0.93703482373531788</c:v>
                </c:pt>
                <c:pt idx="106">
                  <c:v>0.94052245904204435</c:v>
                </c:pt>
                <c:pt idx="107">
                  <c:v>0.94502697794894963</c:v>
                </c:pt>
                <c:pt idx="108">
                  <c:v>0.94902001702969752</c:v>
                </c:pt>
                <c:pt idx="109">
                  <c:v>0.95289662870450809</c:v>
                </c:pt>
                <c:pt idx="110">
                  <c:v>0.95781601759088808</c:v>
                </c:pt>
                <c:pt idx="111">
                  <c:v>0.96099459993103931</c:v>
                </c:pt>
                <c:pt idx="112">
                  <c:v>0.96498033065214606</c:v>
                </c:pt>
                <c:pt idx="113">
                  <c:v>0.96944393744724544</c:v>
                </c:pt>
                <c:pt idx="114">
                  <c:v>0.97413976321669815</c:v>
                </c:pt>
                <c:pt idx="115">
                  <c:v>0.97883021910895474</c:v>
                </c:pt>
                <c:pt idx="116">
                  <c:v>0.98300495704438939</c:v>
                </c:pt>
                <c:pt idx="117">
                  <c:v>0.98720272342922177</c:v>
                </c:pt>
                <c:pt idx="118">
                  <c:v>0.99145255772924212</c:v>
                </c:pt>
                <c:pt idx="119">
                  <c:v>0.99561850552268294</c:v>
                </c:pt>
                <c:pt idx="1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65-40C2-BFC9-1ED045C66B3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CIR!$A$30:$DQ$30</c:f>
              <c:strCache>
                <c:ptCount val="121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</c:strCache>
            </c:strRef>
          </c:cat>
          <c:val>
            <c:numRef>
              <c:f>CIR!$A$54:$DQ$54</c:f>
              <c:numCache>
                <c:formatCode>0.0000</c:formatCode>
                <c:ptCount val="121"/>
                <c:pt idx="0">
                  <c:v>0.64406656131390982</c:v>
                </c:pt>
                <c:pt idx="1">
                  <c:v>0.64544115994903217</c:v>
                </c:pt>
                <c:pt idx="2">
                  <c:v>0.64638611597748152</c:v>
                </c:pt>
                <c:pt idx="3">
                  <c:v>0.64775115036971809</c:v>
                </c:pt>
                <c:pt idx="4">
                  <c:v>0.64930467100892575</c:v>
                </c:pt>
                <c:pt idx="5">
                  <c:v>0.65040395509526672</c:v>
                </c:pt>
                <c:pt idx="6">
                  <c:v>0.65266777857153457</c:v>
                </c:pt>
                <c:pt idx="7">
                  <c:v>0.65468768630008911</c:v>
                </c:pt>
                <c:pt idx="8">
                  <c:v>0.65626780949321761</c:v>
                </c:pt>
                <c:pt idx="9">
                  <c:v>0.65864199896721498</c:v>
                </c:pt>
                <c:pt idx="10">
                  <c:v>0.6599891667586526</c:v>
                </c:pt>
                <c:pt idx="11">
                  <c:v>0.66115858911616232</c:v>
                </c:pt>
                <c:pt idx="12">
                  <c:v>0.66244307728165353</c:v>
                </c:pt>
                <c:pt idx="13">
                  <c:v>0.66471036319002863</c:v>
                </c:pt>
                <c:pt idx="14">
                  <c:v>0.66604277387015198</c:v>
                </c:pt>
                <c:pt idx="15">
                  <c:v>0.66832134796101994</c:v>
                </c:pt>
                <c:pt idx="16">
                  <c:v>0.67069437331097781</c:v>
                </c:pt>
                <c:pt idx="17">
                  <c:v>0.67291074211528812</c:v>
                </c:pt>
                <c:pt idx="18">
                  <c:v>0.67480246503852082</c:v>
                </c:pt>
                <c:pt idx="19">
                  <c:v>0.67677292200464489</c:v>
                </c:pt>
                <c:pt idx="20">
                  <c:v>0.67872625250921326</c:v>
                </c:pt>
                <c:pt idx="21">
                  <c:v>0.68122675367336138</c:v>
                </c:pt>
                <c:pt idx="22">
                  <c:v>0.68271543428327364</c:v>
                </c:pt>
                <c:pt idx="23">
                  <c:v>0.68531495367464612</c:v>
                </c:pt>
                <c:pt idx="24">
                  <c:v>0.68854164527001305</c:v>
                </c:pt>
                <c:pt idx="25">
                  <c:v>0.69191723421466644</c:v>
                </c:pt>
                <c:pt idx="26">
                  <c:v>0.69331522407049839</c:v>
                </c:pt>
                <c:pt idx="27">
                  <c:v>0.6960304225948597</c:v>
                </c:pt>
                <c:pt idx="28">
                  <c:v>0.69905145564796034</c:v>
                </c:pt>
                <c:pt idx="29">
                  <c:v>0.70253791773844965</c:v>
                </c:pt>
                <c:pt idx="30">
                  <c:v>0.70450058133490734</c:v>
                </c:pt>
                <c:pt idx="31">
                  <c:v>0.70733637280773021</c:v>
                </c:pt>
                <c:pt idx="32">
                  <c:v>0.71058074345508393</c:v>
                </c:pt>
                <c:pt idx="33">
                  <c:v>0.71307958421358031</c:v>
                </c:pt>
                <c:pt idx="34">
                  <c:v>0.716150391891066</c:v>
                </c:pt>
                <c:pt idx="35">
                  <c:v>0.7187365447945091</c:v>
                </c:pt>
                <c:pt idx="36">
                  <c:v>0.72005333035118391</c:v>
                </c:pt>
                <c:pt idx="37">
                  <c:v>0.72119345938812018</c:v>
                </c:pt>
                <c:pt idx="38">
                  <c:v>0.72250656541050329</c:v>
                </c:pt>
                <c:pt idx="39">
                  <c:v>0.7244202685565001</c:v>
                </c:pt>
                <c:pt idx="40">
                  <c:v>0.72679307125089065</c:v>
                </c:pt>
                <c:pt idx="41">
                  <c:v>0.729660042628266</c:v>
                </c:pt>
                <c:pt idx="42">
                  <c:v>0.73214060905047196</c:v>
                </c:pt>
                <c:pt idx="43">
                  <c:v>0.73371731052593214</c:v>
                </c:pt>
                <c:pt idx="44">
                  <c:v>0.73696786083715349</c:v>
                </c:pt>
                <c:pt idx="45">
                  <c:v>0.73980681221427624</c:v>
                </c:pt>
                <c:pt idx="46">
                  <c:v>0.74086046551704499</c:v>
                </c:pt>
                <c:pt idx="47">
                  <c:v>0.74503977019130396</c:v>
                </c:pt>
                <c:pt idx="48">
                  <c:v>0.74804943048453121</c:v>
                </c:pt>
                <c:pt idx="49">
                  <c:v>0.75072265349303791</c:v>
                </c:pt>
                <c:pt idx="50">
                  <c:v>0.7521750394886465</c:v>
                </c:pt>
                <c:pt idx="51">
                  <c:v>0.7546583558307679</c:v>
                </c:pt>
                <c:pt idx="52">
                  <c:v>0.75901244344526142</c:v>
                </c:pt>
                <c:pt idx="53">
                  <c:v>0.76066716967185088</c:v>
                </c:pt>
                <c:pt idx="54">
                  <c:v>0.76122769668585621</c:v>
                </c:pt>
                <c:pt idx="55">
                  <c:v>0.76446333276488754</c:v>
                </c:pt>
                <c:pt idx="56">
                  <c:v>0.76720739029539897</c:v>
                </c:pt>
                <c:pt idx="57">
                  <c:v>0.77107933091362146</c:v>
                </c:pt>
                <c:pt idx="58">
                  <c:v>0.77458024432071426</c:v>
                </c:pt>
                <c:pt idx="59">
                  <c:v>0.77782179992502809</c:v>
                </c:pt>
                <c:pt idx="60">
                  <c:v>0.77971292750305476</c:v>
                </c:pt>
                <c:pt idx="61">
                  <c:v>0.78394021712444739</c:v>
                </c:pt>
                <c:pt idx="62">
                  <c:v>0.7880031647635497</c:v>
                </c:pt>
                <c:pt idx="63">
                  <c:v>0.79188012605333746</c:v>
                </c:pt>
                <c:pt idx="64">
                  <c:v>0.79563004631711098</c:v>
                </c:pt>
                <c:pt idx="65">
                  <c:v>0.8000208709160409</c:v>
                </c:pt>
                <c:pt idx="66">
                  <c:v>0.80386805894358238</c:v>
                </c:pt>
                <c:pt idx="67">
                  <c:v>0.80717211462542116</c:v>
                </c:pt>
                <c:pt idx="68">
                  <c:v>0.81031061822836548</c:v>
                </c:pt>
                <c:pt idx="69">
                  <c:v>0.8137515214027804</c:v>
                </c:pt>
                <c:pt idx="70">
                  <c:v>0.81491288663112205</c:v>
                </c:pt>
                <c:pt idx="71">
                  <c:v>0.81710135903151893</c:v>
                </c:pt>
                <c:pt idx="72">
                  <c:v>0.82019314231335838</c:v>
                </c:pt>
                <c:pt idx="73">
                  <c:v>0.82312207953432481</c:v>
                </c:pt>
                <c:pt idx="74">
                  <c:v>0.82604576363841042</c:v>
                </c:pt>
                <c:pt idx="75">
                  <c:v>0.83107147130597658</c:v>
                </c:pt>
                <c:pt idx="76">
                  <c:v>0.83453155183537531</c:v>
                </c:pt>
                <c:pt idx="77">
                  <c:v>0.83851421205732313</c:v>
                </c:pt>
                <c:pt idx="78">
                  <c:v>0.84131313889729886</c:v>
                </c:pt>
                <c:pt idx="79">
                  <c:v>0.84293675829115511</c:v>
                </c:pt>
                <c:pt idx="80">
                  <c:v>0.84511449289328766</c:v>
                </c:pt>
                <c:pt idx="81">
                  <c:v>0.84733544464040822</c:v>
                </c:pt>
                <c:pt idx="82">
                  <c:v>0.85174326619394336</c:v>
                </c:pt>
                <c:pt idx="83">
                  <c:v>0.85366998795439719</c:v>
                </c:pt>
                <c:pt idx="84">
                  <c:v>0.85683588956465451</c:v>
                </c:pt>
                <c:pt idx="85">
                  <c:v>0.85985743088053368</c:v>
                </c:pt>
                <c:pt idx="86">
                  <c:v>0.86398631028871353</c:v>
                </c:pt>
                <c:pt idx="87">
                  <c:v>0.86866838287314052</c:v>
                </c:pt>
                <c:pt idx="88">
                  <c:v>0.87236730248659267</c:v>
                </c:pt>
                <c:pt idx="89">
                  <c:v>0.87551149902212377</c:v>
                </c:pt>
                <c:pt idx="90">
                  <c:v>0.88050715385062095</c:v>
                </c:pt>
                <c:pt idx="91">
                  <c:v>0.88401538174411909</c:v>
                </c:pt>
                <c:pt idx="92">
                  <c:v>0.88793998022353759</c:v>
                </c:pt>
                <c:pt idx="93">
                  <c:v>0.89122509787938486</c:v>
                </c:pt>
                <c:pt idx="94">
                  <c:v>0.89547273162833074</c:v>
                </c:pt>
                <c:pt idx="95">
                  <c:v>0.89924580531971021</c:v>
                </c:pt>
                <c:pt idx="96">
                  <c:v>0.90222542949509488</c:v>
                </c:pt>
                <c:pt idx="97">
                  <c:v>0.90609747993171685</c:v>
                </c:pt>
                <c:pt idx="98">
                  <c:v>0.90929561868718056</c:v>
                </c:pt>
                <c:pt idx="99">
                  <c:v>0.91271039583219737</c:v>
                </c:pt>
                <c:pt idx="100">
                  <c:v>0.91703440273137093</c:v>
                </c:pt>
                <c:pt idx="101">
                  <c:v>0.92157447380926949</c:v>
                </c:pt>
                <c:pt idx="102">
                  <c:v>0.92494725648946141</c:v>
                </c:pt>
                <c:pt idx="103">
                  <c:v>0.92828169049581777</c:v>
                </c:pt>
                <c:pt idx="104">
                  <c:v>0.93257310176400898</c:v>
                </c:pt>
                <c:pt idx="105">
                  <c:v>0.93718340105554565</c:v>
                </c:pt>
                <c:pt idx="106">
                  <c:v>0.94052514650874286</c:v>
                </c:pt>
                <c:pt idx="107">
                  <c:v>0.94456698329895106</c:v>
                </c:pt>
                <c:pt idx="108">
                  <c:v>0.94895987095348244</c:v>
                </c:pt>
                <c:pt idx="109">
                  <c:v>0.95334898864729523</c:v>
                </c:pt>
                <c:pt idx="110">
                  <c:v>0.95819965098633242</c:v>
                </c:pt>
                <c:pt idx="111">
                  <c:v>0.96186269804284752</c:v>
                </c:pt>
                <c:pt idx="112">
                  <c:v>0.96655830543219279</c:v>
                </c:pt>
                <c:pt idx="113">
                  <c:v>0.97059244073332518</c:v>
                </c:pt>
                <c:pt idx="114">
                  <c:v>0.97465785681260719</c:v>
                </c:pt>
                <c:pt idx="115">
                  <c:v>0.97863637186889951</c:v>
                </c:pt>
                <c:pt idx="116">
                  <c:v>0.98270824090775299</c:v>
                </c:pt>
                <c:pt idx="117">
                  <c:v>0.98696129834701762</c:v>
                </c:pt>
                <c:pt idx="118">
                  <c:v>0.99138878213357462</c:v>
                </c:pt>
                <c:pt idx="119">
                  <c:v>0.9956833845850237</c:v>
                </c:pt>
                <c:pt idx="1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65-40C2-BFC9-1ED045C66B3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CIR!$A$30:$DQ$30</c:f>
              <c:strCache>
                <c:ptCount val="121"/>
                <c:pt idx="0">
                  <c:v>0</c:v>
                </c:pt>
                <c:pt idx="12">
                  <c:v>1</c:v>
                </c:pt>
                <c:pt idx="24">
                  <c:v>2</c:v>
                </c:pt>
                <c:pt idx="36">
                  <c:v>3</c:v>
                </c:pt>
                <c:pt idx="48">
                  <c:v>4</c:v>
                </c:pt>
                <c:pt idx="60">
                  <c:v>5</c:v>
                </c:pt>
                <c:pt idx="72">
                  <c:v>6</c:v>
                </c:pt>
                <c:pt idx="84">
                  <c:v>7</c:v>
                </c:pt>
                <c:pt idx="96">
                  <c:v>8</c:v>
                </c:pt>
                <c:pt idx="108">
                  <c:v>9</c:v>
                </c:pt>
                <c:pt idx="120">
                  <c:v>10</c:v>
                </c:pt>
              </c:strCache>
            </c:strRef>
          </c:cat>
          <c:val>
            <c:numRef>
              <c:f>CIR!$A$55:$DQ$55</c:f>
              <c:numCache>
                <c:formatCode>0.0000</c:formatCode>
                <c:ptCount val="121"/>
                <c:pt idx="0">
                  <c:v>0.64406656131390982</c:v>
                </c:pt>
                <c:pt idx="1">
                  <c:v>0.645157861029938</c:v>
                </c:pt>
                <c:pt idx="2">
                  <c:v>0.64576755416847231</c:v>
                </c:pt>
                <c:pt idx="3">
                  <c:v>0.64645970274840614</c:v>
                </c:pt>
                <c:pt idx="4">
                  <c:v>0.64784493162232104</c:v>
                </c:pt>
                <c:pt idx="5">
                  <c:v>0.64997393543531579</c:v>
                </c:pt>
                <c:pt idx="6">
                  <c:v>0.6508375333352111</c:v>
                </c:pt>
                <c:pt idx="7">
                  <c:v>0.65244954332302219</c:v>
                </c:pt>
                <c:pt idx="8">
                  <c:v>0.65425879966207789</c:v>
                </c:pt>
                <c:pt idx="9">
                  <c:v>0.65558925908100985</c:v>
                </c:pt>
                <c:pt idx="10">
                  <c:v>0.65838810629977484</c:v>
                </c:pt>
                <c:pt idx="11">
                  <c:v>0.65936119022024908</c:v>
                </c:pt>
                <c:pt idx="12">
                  <c:v>0.66190972322354036</c:v>
                </c:pt>
                <c:pt idx="13">
                  <c:v>0.66236356727325463</c:v>
                </c:pt>
                <c:pt idx="14">
                  <c:v>0.6654864024210676</c:v>
                </c:pt>
                <c:pt idx="15">
                  <c:v>0.66731938875505914</c:v>
                </c:pt>
                <c:pt idx="16">
                  <c:v>0.66973357234597486</c:v>
                </c:pt>
                <c:pt idx="17">
                  <c:v>0.67184796145247849</c:v>
                </c:pt>
                <c:pt idx="18">
                  <c:v>0.67313885339084212</c:v>
                </c:pt>
                <c:pt idx="19">
                  <c:v>0.67480968038784228</c:v>
                </c:pt>
                <c:pt idx="20">
                  <c:v>0.67807024984765429</c:v>
                </c:pt>
                <c:pt idx="21">
                  <c:v>0.68005717564092139</c:v>
                </c:pt>
                <c:pt idx="22">
                  <c:v>0.68138596155420328</c:v>
                </c:pt>
                <c:pt idx="23">
                  <c:v>0.6837159491231507</c:v>
                </c:pt>
                <c:pt idx="24">
                  <c:v>0.68607560444780558</c:v>
                </c:pt>
                <c:pt idx="25">
                  <c:v>0.68850367826228909</c:v>
                </c:pt>
                <c:pt idx="26">
                  <c:v>0.69020335527594578</c:v>
                </c:pt>
                <c:pt idx="27">
                  <c:v>0.69262859334843097</c:v>
                </c:pt>
                <c:pt idx="28">
                  <c:v>0.69459722635437926</c:v>
                </c:pt>
                <c:pt idx="29">
                  <c:v>0.69730132620603424</c:v>
                </c:pt>
                <c:pt idx="30">
                  <c:v>0.69853148720933478</c:v>
                </c:pt>
                <c:pt idx="31">
                  <c:v>0.70242320494672605</c:v>
                </c:pt>
                <c:pt idx="32">
                  <c:v>0.70560588993797535</c:v>
                </c:pt>
                <c:pt idx="33">
                  <c:v>0.70834013904149229</c:v>
                </c:pt>
                <c:pt idx="34">
                  <c:v>0.71076244436130542</c:v>
                </c:pt>
                <c:pt idx="35">
                  <c:v>0.71303313204264651</c:v>
                </c:pt>
                <c:pt idx="36">
                  <c:v>0.7152688742524973</c:v>
                </c:pt>
                <c:pt idx="37">
                  <c:v>0.71544120015752699</c:v>
                </c:pt>
                <c:pt idx="38">
                  <c:v>0.71942044998544263</c:v>
                </c:pt>
                <c:pt idx="39">
                  <c:v>0.72209307242179155</c:v>
                </c:pt>
                <c:pt idx="40">
                  <c:v>0.72484482994527133</c:v>
                </c:pt>
                <c:pt idx="41">
                  <c:v>0.72627007069210325</c:v>
                </c:pt>
                <c:pt idx="42">
                  <c:v>0.72851204714031537</c:v>
                </c:pt>
                <c:pt idx="43">
                  <c:v>0.73150499865202756</c:v>
                </c:pt>
                <c:pt idx="44">
                  <c:v>0.73311160913639772</c:v>
                </c:pt>
                <c:pt idx="45">
                  <c:v>0.73559478397404165</c:v>
                </c:pt>
                <c:pt idx="46">
                  <c:v>0.73757059549711601</c:v>
                </c:pt>
                <c:pt idx="47">
                  <c:v>0.74149689387012752</c:v>
                </c:pt>
                <c:pt idx="48">
                  <c:v>0.74286706811976111</c:v>
                </c:pt>
                <c:pt idx="49">
                  <c:v>0.74508911091724928</c:v>
                </c:pt>
                <c:pt idx="50">
                  <c:v>0.74595762298509516</c:v>
                </c:pt>
                <c:pt idx="51">
                  <c:v>0.74721151181401513</c:v>
                </c:pt>
                <c:pt idx="52">
                  <c:v>0.75164437037438936</c:v>
                </c:pt>
                <c:pt idx="53">
                  <c:v>0.7542189912642745</c:v>
                </c:pt>
                <c:pt idx="54">
                  <c:v>0.7577471238289557</c:v>
                </c:pt>
                <c:pt idx="55">
                  <c:v>0.76141565277951373</c:v>
                </c:pt>
                <c:pt idx="56">
                  <c:v>0.76620039176721155</c:v>
                </c:pt>
                <c:pt idx="57">
                  <c:v>0.77009352838368472</c:v>
                </c:pt>
                <c:pt idx="58">
                  <c:v>0.77501446510994909</c:v>
                </c:pt>
                <c:pt idx="59">
                  <c:v>0.77770536638993348</c:v>
                </c:pt>
                <c:pt idx="60">
                  <c:v>0.77954307127025702</c:v>
                </c:pt>
                <c:pt idx="61">
                  <c:v>0.78265399680114911</c:v>
                </c:pt>
                <c:pt idx="62">
                  <c:v>0.78606276640202799</c:v>
                </c:pt>
                <c:pt idx="63">
                  <c:v>0.78968020839216746</c:v>
                </c:pt>
                <c:pt idx="64">
                  <c:v>0.79322384869363882</c:v>
                </c:pt>
                <c:pt idx="65">
                  <c:v>0.79764870349926076</c:v>
                </c:pt>
                <c:pt idx="66">
                  <c:v>0.80098802344902464</c:v>
                </c:pt>
                <c:pt idx="67">
                  <c:v>0.80332593895934445</c:v>
                </c:pt>
                <c:pt idx="68">
                  <c:v>0.80667037272950559</c:v>
                </c:pt>
                <c:pt idx="69">
                  <c:v>0.81003274264712699</c:v>
                </c:pt>
                <c:pt idx="70">
                  <c:v>0.81251105589305617</c:v>
                </c:pt>
                <c:pt idx="71">
                  <c:v>0.81623098707063013</c:v>
                </c:pt>
                <c:pt idx="72">
                  <c:v>0.82024030139219217</c:v>
                </c:pt>
                <c:pt idx="73">
                  <c:v>0.82478302766974232</c:v>
                </c:pt>
                <c:pt idx="74">
                  <c:v>0.82895112188664888</c:v>
                </c:pt>
                <c:pt idx="75">
                  <c:v>0.83206494716795987</c:v>
                </c:pt>
                <c:pt idx="76">
                  <c:v>0.83589117794300283</c:v>
                </c:pt>
                <c:pt idx="77">
                  <c:v>0.84074460175535082</c:v>
                </c:pt>
                <c:pt idx="78">
                  <c:v>0.84473498502183642</c:v>
                </c:pt>
                <c:pt idx="79">
                  <c:v>0.84750031172486917</c:v>
                </c:pt>
                <c:pt idx="80">
                  <c:v>0.85058242903723391</c:v>
                </c:pt>
                <c:pt idx="81">
                  <c:v>0.85423825503476603</c:v>
                </c:pt>
                <c:pt idx="82">
                  <c:v>0.85841229670703001</c:v>
                </c:pt>
                <c:pt idx="83">
                  <c:v>0.86278673784175375</c:v>
                </c:pt>
                <c:pt idx="84">
                  <c:v>0.86618543473555032</c:v>
                </c:pt>
                <c:pt idx="85">
                  <c:v>0.86968463869318346</c:v>
                </c:pt>
                <c:pt idx="86">
                  <c:v>0.87365325515001424</c:v>
                </c:pt>
                <c:pt idx="87">
                  <c:v>0.87723234152601559</c:v>
                </c:pt>
                <c:pt idx="88">
                  <c:v>0.88030132285447937</c:v>
                </c:pt>
                <c:pt idx="89">
                  <c:v>0.88275489249484551</c:v>
                </c:pt>
                <c:pt idx="90">
                  <c:v>0.88634765021637119</c:v>
                </c:pt>
                <c:pt idx="91">
                  <c:v>0.89001529022830472</c:v>
                </c:pt>
                <c:pt idx="92">
                  <c:v>0.89311205221795198</c:v>
                </c:pt>
                <c:pt idx="93">
                  <c:v>0.89586568700001534</c:v>
                </c:pt>
                <c:pt idx="94">
                  <c:v>0.9001936283258748</c:v>
                </c:pt>
                <c:pt idx="95">
                  <c:v>0.90488809109561363</c:v>
                </c:pt>
                <c:pt idx="96">
                  <c:v>0.9086931372362691</c:v>
                </c:pt>
                <c:pt idx="97">
                  <c:v>0.9116509738236519</c:v>
                </c:pt>
                <c:pt idx="98">
                  <c:v>0.91618032956823314</c:v>
                </c:pt>
                <c:pt idx="99">
                  <c:v>0.91917875066331989</c:v>
                </c:pt>
                <c:pt idx="100">
                  <c:v>0.92302213595409466</c:v>
                </c:pt>
                <c:pt idx="101">
                  <c:v>0.92569912022894763</c:v>
                </c:pt>
                <c:pt idx="102">
                  <c:v>0.9294537468312295</c:v>
                </c:pt>
                <c:pt idx="103">
                  <c:v>0.93287139410784159</c:v>
                </c:pt>
                <c:pt idx="104">
                  <c:v>0.93628257731247144</c:v>
                </c:pt>
                <c:pt idx="105">
                  <c:v>0.94052639600699461</c:v>
                </c:pt>
                <c:pt idx="106">
                  <c:v>0.94434903472742981</c:v>
                </c:pt>
                <c:pt idx="107">
                  <c:v>0.94879332371597314</c:v>
                </c:pt>
                <c:pt idx="108">
                  <c:v>0.95271616950308358</c:v>
                </c:pt>
                <c:pt idx="109">
                  <c:v>0.95687429941425484</c:v>
                </c:pt>
                <c:pt idx="110">
                  <c:v>0.96026912225634409</c:v>
                </c:pt>
                <c:pt idx="111">
                  <c:v>0.96410448362734447</c:v>
                </c:pt>
                <c:pt idx="112">
                  <c:v>0.96764121071555698</c:v>
                </c:pt>
                <c:pt idx="113">
                  <c:v>0.97148914995632496</c:v>
                </c:pt>
                <c:pt idx="114">
                  <c:v>0.97536247385515806</c:v>
                </c:pt>
                <c:pt idx="115">
                  <c:v>0.97978108295854816</c:v>
                </c:pt>
                <c:pt idx="116">
                  <c:v>0.98345471487005764</c:v>
                </c:pt>
                <c:pt idx="117">
                  <c:v>0.98759511191986893</c:v>
                </c:pt>
                <c:pt idx="118">
                  <c:v>0.9918845950334696</c:v>
                </c:pt>
                <c:pt idx="119">
                  <c:v>0.99590556832485022</c:v>
                </c:pt>
                <c:pt idx="1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65-40C2-BFC9-1ED045C66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50272"/>
        <c:axId val="1462161984"/>
      </c:lineChart>
      <c:catAx>
        <c:axId val="3355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161984"/>
        <c:crosses val="autoZero"/>
        <c:auto val="1"/>
        <c:lblAlgn val="ctr"/>
        <c:lblOffset val="100"/>
        <c:noMultiLvlLbl val="0"/>
      </c:catAx>
      <c:valAx>
        <c:axId val="146216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5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5FAE89-94C3-5D19-86C1-1B6D9B17A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DFEF31-9AAB-4844-B9F4-5A1231C67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138A5C-C5BC-C8A3-B41F-81996306E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1D19-0528-4CDA-95D2-1EF744094B20}">
  <dimension ref="A1:N16"/>
  <sheetViews>
    <sheetView workbookViewId="0">
      <selection activeCell="B2" sqref="B2"/>
    </sheetView>
  </sheetViews>
  <sheetFormatPr defaultRowHeight="14.4" x14ac:dyDescent="0.3"/>
  <cols>
    <col min="1" max="1" width="13.5546875" bestFit="1" customWidth="1"/>
    <col min="2" max="3" width="9.109375" bestFit="1" customWidth="1"/>
  </cols>
  <sheetData>
    <row r="1" spans="1:14" s="11" customFormat="1" ht="18" x14ac:dyDescent="0.35">
      <c r="A1" s="10" t="s">
        <v>7</v>
      </c>
    </row>
    <row r="2" spans="1:14" x14ac:dyDescent="0.3">
      <c r="A2" t="s">
        <v>2</v>
      </c>
      <c r="B2" s="7">
        <v>0.4</v>
      </c>
    </row>
    <row r="3" spans="1:14" x14ac:dyDescent="0.3">
      <c r="A3" t="s">
        <v>6</v>
      </c>
      <c r="B3" s="5">
        <f ca="1">CORREL(D9:J9,C9:I9)</f>
        <v>0.41984270566643095</v>
      </c>
    </row>
    <row r="5" spans="1:14" x14ac:dyDescent="0.3">
      <c r="A5" s="4" t="s">
        <v>8</v>
      </c>
      <c r="B5" cm="1">
        <f t="array" aca="1" ref="B5:N5" ca="1">_xlfn.SEQUENCE(1,COUNT(_xlfn.ANCHORARRAY(B14)),0)</f>
        <v>0</v>
      </c>
      <c r="C5">
        <f ca="1"/>
        <v>1</v>
      </c>
      <c r="D5">
        <f ca="1"/>
        <v>2</v>
      </c>
      <c r="E5">
        <f ca="1"/>
        <v>3</v>
      </c>
      <c r="F5">
        <f ca="1"/>
        <v>4</v>
      </c>
      <c r="G5">
        <f ca="1"/>
        <v>5</v>
      </c>
      <c r="H5">
        <f ca="1"/>
        <v>6</v>
      </c>
      <c r="I5">
        <f ca="1"/>
        <v>7</v>
      </c>
      <c r="J5">
        <f ca="1"/>
        <v>8</v>
      </c>
      <c r="K5">
        <f ca="1"/>
        <v>9</v>
      </c>
      <c r="L5">
        <f ca="1"/>
        <v>10</v>
      </c>
      <c r="M5">
        <f ca="1"/>
        <v>11</v>
      </c>
      <c r="N5">
        <f ca="1"/>
        <v>12</v>
      </c>
    </row>
    <row r="6" spans="1:14" s="2" customFormat="1" x14ac:dyDescent="0.3"/>
    <row r="7" spans="1:14" x14ac:dyDescent="0.3">
      <c r="A7" s="4" t="s">
        <v>5</v>
      </c>
    </row>
    <row r="8" spans="1:14" s="6" customFormat="1" x14ac:dyDescent="0.3">
      <c r="A8" s="8" t="str" cm="1">
        <f t="array" ref="A8:A10">A13:A15</f>
        <v>True</v>
      </c>
      <c r="B8" s="9"/>
      <c r="C8" s="6">
        <v>0.02</v>
      </c>
      <c r="D8" s="6">
        <v>0.05</v>
      </c>
      <c r="E8" s="6">
        <v>-0.2</v>
      </c>
      <c r="F8" s="6">
        <v>-0.1</v>
      </c>
      <c r="G8" s="6">
        <v>0.15</v>
      </c>
      <c r="H8" s="6">
        <v>0.25</v>
      </c>
      <c r="I8" s="6">
        <v>0.27</v>
      </c>
      <c r="J8" s="6">
        <v>-0.15</v>
      </c>
      <c r="K8" s="6">
        <v>-0.05</v>
      </c>
      <c r="L8" s="6">
        <v>0.1</v>
      </c>
      <c r="M8" s="6">
        <v>0.12</v>
      </c>
      <c r="N8" s="6">
        <v>-0.25</v>
      </c>
    </row>
    <row r="9" spans="1:14" s="1" customFormat="1" x14ac:dyDescent="0.3">
      <c r="A9" s="2" t="str">
        <v>Smoothed</v>
      </c>
      <c r="C9" s="1" cm="1">
        <f t="array" aca="1" ref="C9:N9" ca="1">_xlfn.DROP(_xlfn.ANCHORARRAY(B14),,1)/_xlfn.DROP(_xlfn.ANCHORARRAY(B14),,-1)-1</f>
        <v>8.0000000000000071E-3</v>
      </c>
      <c r="D9" s="1">
        <f ca="1"/>
        <v>2.4999999999999911E-2</v>
      </c>
      <c r="E9" s="1">
        <f ca="1"/>
        <v>-6.8292682926829218E-2</v>
      </c>
      <c r="F9" s="1">
        <f ca="1"/>
        <v>-7.9581151832460617E-2</v>
      </c>
      <c r="G9" s="1">
        <f ca="1"/>
        <v>3.4129692832762792E-4</v>
      </c>
      <c r="H9" s="1">
        <f ca="1"/>
        <v>0.10025588536335728</v>
      </c>
      <c r="I9" s="1">
        <f ca="1"/>
        <v>0.17743383413182001</v>
      </c>
      <c r="J9" s="1">
        <f ca="1"/>
        <v>1.6854641665662529E-2</v>
      </c>
      <c r="K9" s="1">
        <f ca="1"/>
        <v>-1.05520952988023E-2</v>
      </c>
      <c r="L9" s="1">
        <f ca="1"/>
        <v>3.2961344539596871E-2</v>
      </c>
      <c r="M9" s="1">
        <f ca="1"/>
        <v>6.9443225971327571E-2</v>
      </c>
      <c r="N9" s="1">
        <f ca="1"/>
        <v>-7.0779700195197304E-2</v>
      </c>
    </row>
    <row r="10" spans="1:14" s="1" customFormat="1" x14ac:dyDescent="0.3">
      <c r="A10" s="1" t="str">
        <v>Unsmoothed</v>
      </c>
      <c r="D10" s="1" cm="1">
        <f t="array" aca="1" ref="D10:N10" ca="1">(_xlfn.DROP(_xlfn.ANCHORARRAY(C9),,1)-B3*_xlfn.DROP(_xlfn.ANCHORARRAY(C9),,-1))/(1-B3)</f>
        <v>3.7302398101411331E-2</v>
      </c>
      <c r="E10" s="1">
        <f ca="1"/>
        <v>-0.13580584323945313</v>
      </c>
      <c r="F10" s="1">
        <f ca="1"/>
        <v>-8.7750283504959573E-2</v>
      </c>
      <c r="G10" s="1">
        <f ca="1"/>
        <v>5.817881351037929E-2</v>
      </c>
      <c r="H10" s="1">
        <f ca="1"/>
        <v>0.1725611231907937</v>
      </c>
      <c r="I10" s="1">
        <f ca="1"/>
        <v>0.23328523709652405</v>
      </c>
      <c r="J10" s="1">
        <f ca="1"/>
        <v>-9.9351779070916621E-2</v>
      </c>
      <c r="K10" s="1">
        <f ca="1"/>
        <v>-3.0385541698656187E-2</v>
      </c>
      <c r="L10" s="1">
        <f ca="1"/>
        <v>6.4450736283938326E-2</v>
      </c>
      <c r="M10" s="1">
        <f ca="1"/>
        <v>9.5844086492600677E-2</v>
      </c>
      <c r="N10" s="1">
        <f ca="1"/>
        <v>-0.17225489199786898</v>
      </c>
    </row>
    <row r="11" spans="1:14" s="1" customFormat="1" x14ac:dyDescent="0.3"/>
    <row r="12" spans="1:14" x14ac:dyDescent="0.3">
      <c r="A12" s="4" t="s">
        <v>3</v>
      </c>
    </row>
    <row r="13" spans="1:14" s="2" customFormat="1" x14ac:dyDescent="0.3">
      <c r="A13" s="3" t="s">
        <v>4</v>
      </c>
      <c r="B13" s="2">
        <v>100</v>
      </c>
      <c r="C13" s="2" cm="1">
        <f t="array" aca="1" ref="C13:N13" ca="1">_xlfn.SCAN(B13,OFFSET(C8,0,0,1,COUNT(8:8)),_xlfn.LAMBDA(_xlpm.p,_xlpm.r,_xlpm.p*(1+_xlpm.r)))</f>
        <v>102</v>
      </c>
      <c r="D13" s="2">
        <f ca="1"/>
        <v>107.10000000000001</v>
      </c>
      <c r="E13" s="2">
        <f ca="1"/>
        <v>85.68</v>
      </c>
      <c r="F13" s="2">
        <f ca="1"/>
        <v>77.112000000000009</v>
      </c>
      <c r="G13" s="2">
        <f ca="1"/>
        <v>88.67880000000001</v>
      </c>
      <c r="H13" s="2">
        <f ca="1"/>
        <v>110.84850000000002</v>
      </c>
      <c r="I13" s="2">
        <f ca="1"/>
        <v>140.77759500000002</v>
      </c>
      <c r="J13" s="2">
        <f ca="1"/>
        <v>119.66095575000001</v>
      </c>
      <c r="K13" s="2">
        <f ca="1"/>
        <v>113.6779079625</v>
      </c>
      <c r="L13" s="2">
        <f ca="1"/>
        <v>125.04569875875001</v>
      </c>
      <c r="M13" s="2">
        <f ca="1"/>
        <v>140.05118260980001</v>
      </c>
      <c r="N13" s="2">
        <f ca="1"/>
        <v>105.03838695735001</v>
      </c>
    </row>
    <row r="14" spans="1:14" s="2" customFormat="1" x14ac:dyDescent="0.3">
      <c r="A14" s="2" t="s">
        <v>0</v>
      </c>
      <c r="B14" s="2" cm="1">
        <f t="array" aca="1" ref="B14:N14" ca="1">_xlfn.REDUCE(
    B13,_xlfn.ANCHORARRAY( C13),
    _xlfn.LAMBDA(_xlpm.a,_xlpm.p,
        _xlfn.HSTACK(_xlpm.a, B2 * _xlpm.p + (1 - B2) * _xlfn.CHOOSECOLS(_xlpm.a, -1)
        )
    )
)</f>
        <v>100</v>
      </c>
      <c r="C14" s="2">
        <f ca="1"/>
        <v>100.80000000000001</v>
      </c>
      <c r="D14" s="2">
        <f ca="1"/>
        <v>103.32000000000001</v>
      </c>
      <c r="E14" s="2">
        <f ca="1"/>
        <v>96.26400000000001</v>
      </c>
      <c r="F14" s="2">
        <f ca="1"/>
        <v>88.603200000000015</v>
      </c>
      <c r="G14" s="2">
        <f ca="1"/>
        <v>88.633440000000007</v>
      </c>
      <c r="H14" s="2">
        <f ca="1"/>
        <v>97.519464000000013</v>
      </c>
      <c r="I14" s="2">
        <f ca="1"/>
        <v>114.82271640000002</v>
      </c>
      <c r="J14" s="2">
        <f ca="1"/>
        <v>116.75801214000001</v>
      </c>
      <c r="K14" s="2">
        <f ca="1"/>
        <v>115.52597046900001</v>
      </c>
      <c r="L14" s="2">
        <f ca="1"/>
        <v>119.33386178490002</v>
      </c>
      <c r="M14" s="2">
        <f ca="1"/>
        <v>127.62079011486001</v>
      </c>
      <c r="N14" s="2">
        <f ca="1"/>
        <v>118.58782885185602</v>
      </c>
    </row>
    <row r="15" spans="1:14" s="2" customFormat="1" x14ac:dyDescent="0.3">
      <c r="A15" s="2" t="s">
        <v>1</v>
      </c>
      <c r="C15" s="2">
        <f ca="1">C14</f>
        <v>100.80000000000001</v>
      </c>
      <c r="D15" s="2" cm="1">
        <f t="array" aca="1" ref="D15:N15" ca="1">_xlfn.SCAN(C15,_xlfn.ANCHORARRAY(D10),_xlfn.LAMBDA(_xlpm.p,_xlpm.r,_xlpm.p*(1+_xlpm.r)))</f>
        <v>104.56008172862228</v>
      </c>
      <c r="E15" s="2">
        <f ca="1"/>
        <v>90.360211660280598</v>
      </c>
      <c r="F15" s="2">
        <f ca="1"/>
        <v>82.431077469522819</v>
      </c>
      <c r="G15" s="2">
        <f ca="1"/>
        <v>87.226819753081813</v>
      </c>
      <c r="H15" s="2">
        <f ca="1"/>
        <v>102.27877774203452</v>
      </c>
      <c r="I15" s="2">
        <f ca="1"/>
        <v>126.13890665752774</v>
      </c>
      <c r="J15" s="2">
        <f ca="1"/>
        <v>113.60678187104207</v>
      </c>
      <c r="K15" s="2">
        <f ca="1"/>
        <v>110.1547782632494</v>
      </c>
      <c r="L15" s="2">
        <f ca="1"/>
        <v>117.25433482750979</v>
      </c>
      <c r="M15" s="2">
        <f ca="1"/>
        <v>128.49246943635001</v>
      </c>
      <c r="N15" s="2">
        <f ca="1"/>
        <v>106.35901299105205</v>
      </c>
    </row>
    <row r="16" spans="1:14" s="1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1E4C-6F4D-44AD-A044-A7961644B033}">
  <dimension ref="A1:I32"/>
  <sheetViews>
    <sheetView workbookViewId="0">
      <selection activeCell="F32" sqref="F32"/>
    </sheetView>
  </sheetViews>
  <sheetFormatPr defaultRowHeight="14.4" x14ac:dyDescent="0.3"/>
  <cols>
    <col min="1" max="5" width="8.88671875" style="12"/>
    <col min="6" max="6" width="8.88671875" style="24"/>
    <col min="7" max="16384" width="8.88671875" style="12"/>
  </cols>
  <sheetData>
    <row r="1" spans="1:9" s="14" customFormat="1" ht="18" x14ac:dyDescent="0.35">
      <c r="A1" s="14" t="s">
        <v>19</v>
      </c>
      <c r="F1" s="23"/>
    </row>
    <row r="3" spans="1:9" x14ac:dyDescent="0.3">
      <c r="A3" s="13" t="s">
        <v>9</v>
      </c>
    </row>
    <row r="4" spans="1:9" s="21" customFormat="1" ht="15" thickBot="1" x14ac:dyDescent="0.35">
      <c r="A4" s="19"/>
      <c r="B4" s="20" t="s">
        <v>15</v>
      </c>
      <c r="C4" s="20" t="s">
        <v>16</v>
      </c>
      <c r="D4" s="20" t="s">
        <v>17</v>
      </c>
      <c r="E4" s="20" t="s">
        <v>18</v>
      </c>
      <c r="F4" s="25" t="s">
        <v>20</v>
      </c>
    </row>
    <row r="5" spans="1:9" x14ac:dyDescent="0.3">
      <c r="A5" s="12" t="s">
        <v>11</v>
      </c>
      <c r="B5" s="12">
        <v>-0.06</v>
      </c>
      <c r="C5" s="12">
        <v>0.04</v>
      </c>
      <c r="D5" s="12">
        <v>0.04</v>
      </c>
      <c r="E5" s="12">
        <v>0.04</v>
      </c>
      <c r="F5" s="26" cm="1">
        <f t="array" ref="F5:F7">MMULT(B5:E7,TRANSPOSE(Carino(_xlfn.ANCHORARRAY(B8),)))/Carino(F8,)</f>
        <v>5.2116422638312634E-2</v>
      </c>
      <c r="I5" s="17"/>
    </row>
    <row r="6" spans="1:9" x14ac:dyDescent="0.3">
      <c r="A6" s="12" t="s">
        <v>12</v>
      </c>
      <c r="B6" s="12">
        <v>0.02</v>
      </c>
      <c r="C6" s="12">
        <v>-0.12</v>
      </c>
      <c r="D6" s="12">
        <v>-0.02</v>
      </c>
      <c r="E6" s="12">
        <v>0.06</v>
      </c>
      <c r="F6" s="26">
        <v>-6.7648847569390935E-2</v>
      </c>
    </row>
    <row r="7" spans="1:9" x14ac:dyDescent="0.3">
      <c r="A7" s="12" t="s">
        <v>13</v>
      </c>
      <c r="B7" s="12">
        <v>-0.12</v>
      </c>
      <c r="C7" s="12">
        <v>0.04</v>
      </c>
      <c r="D7" s="12">
        <v>0.21</v>
      </c>
      <c r="E7" s="12">
        <v>0.06</v>
      </c>
      <c r="F7" s="26">
        <v>0.16610394493107827</v>
      </c>
    </row>
    <row r="8" spans="1:9" ht="15" thickBot="1" x14ac:dyDescent="0.35">
      <c r="A8" s="15" t="s">
        <v>14</v>
      </c>
      <c r="B8" s="15" cm="1">
        <f t="array" ref="B8:E8">_xlfn.BYCOL(B5:E7,_xleta.SUM)</f>
        <v>-0.15999999999999998</v>
      </c>
      <c r="C8" s="15">
        <v>-3.9999999999999987E-2</v>
      </c>
      <c r="D8" s="15">
        <v>0.22999999999999998</v>
      </c>
      <c r="E8" s="15">
        <v>0.16</v>
      </c>
      <c r="F8" s="27">
        <f>FVSCHEDULE(1,_xlfn.ANCHORARRAY(B8))-1</f>
        <v>0.15057151999999996</v>
      </c>
    </row>
    <row r="9" spans="1:9" x14ac:dyDescent="0.3">
      <c r="F9" s="26"/>
    </row>
    <row r="10" spans="1:9" x14ac:dyDescent="0.3">
      <c r="A10" s="13" t="s">
        <v>10</v>
      </c>
      <c r="F10" s="26"/>
    </row>
    <row r="11" spans="1:9" s="21" customFormat="1" ht="15" thickBot="1" x14ac:dyDescent="0.35">
      <c r="A11" s="19"/>
      <c r="B11" s="20" t="str" cm="1">
        <f t="array" ref="B11:F11">B4:F4</f>
        <v>Q1</v>
      </c>
      <c r="C11" s="20" t="str">
        <v>Q2</v>
      </c>
      <c r="D11" s="20" t="str">
        <v>Q3</v>
      </c>
      <c r="E11" s="20" t="str">
        <v>Q4</v>
      </c>
      <c r="F11" s="28" t="str">
        <v>YTD</v>
      </c>
    </row>
    <row r="12" spans="1:9" x14ac:dyDescent="0.3">
      <c r="A12" s="12" t="str" cm="1">
        <f t="array" ref="A12:A14">A5:A7</f>
        <v>Sector 1</v>
      </c>
      <c r="B12" s="12">
        <v>0</v>
      </c>
      <c r="C12" s="12">
        <v>0.03</v>
      </c>
      <c r="D12" s="12">
        <v>-0.06</v>
      </c>
      <c r="E12" s="12">
        <v>0.08</v>
      </c>
      <c r="F12" s="26" cm="1">
        <f t="array" ref="F12:F14">MMULT(B12:E14,TRANSPOSE(Carino(_xlfn.ANCHORARRAY(B15),)))/Carino(F15,)</f>
        <v>3.9486899760215431E-2</v>
      </c>
    </row>
    <row r="13" spans="1:9" x14ac:dyDescent="0.3">
      <c r="A13" s="12" t="str">
        <v>Sector 2</v>
      </c>
      <c r="B13" s="12">
        <v>0.04</v>
      </c>
      <c r="C13" s="12">
        <v>0</v>
      </c>
      <c r="D13" s="12">
        <v>-0.04</v>
      </c>
      <c r="E13" s="12">
        <v>0.06</v>
      </c>
      <c r="F13" s="26">
        <v>5.088164151366608E-2</v>
      </c>
    </row>
    <row r="14" spans="1:9" x14ac:dyDescent="0.3">
      <c r="A14" s="12" t="str">
        <v>Sector 3</v>
      </c>
      <c r="B14" s="12">
        <v>0.14000000000000001</v>
      </c>
      <c r="C14" s="12">
        <v>0</v>
      </c>
      <c r="D14" s="12">
        <v>-0.1</v>
      </c>
      <c r="E14" s="12">
        <v>0</v>
      </c>
      <c r="F14" s="26">
        <v>1.8076258726118594E-2</v>
      </c>
    </row>
    <row r="15" spans="1:9" ht="15" thickBot="1" x14ac:dyDescent="0.35">
      <c r="A15" s="15" t="s">
        <v>14</v>
      </c>
      <c r="B15" s="15" cm="1">
        <f t="array" ref="B15:E15">_xlfn.BYCOL(B12:E14,_xleta.SUM)</f>
        <v>0.18000000000000002</v>
      </c>
      <c r="C15" s="15">
        <v>0.03</v>
      </c>
      <c r="D15" s="15">
        <v>-0.2</v>
      </c>
      <c r="E15" s="15">
        <v>0.14000000000000001</v>
      </c>
      <c r="F15" s="27">
        <f>FVSCHEDULE(1,_xlfn.ANCHORARRAY(B15))-1</f>
        <v>0.10844480000000023</v>
      </c>
    </row>
    <row r="17" spans="1:6" x14ac:dyDescent="0.3">
      <c r="A17" s="13" t="s">
        <v>22</v>
      </c>
    </row>
    <row r="18" spans="1:6" s="16" customFormat="1" ht="15" thickBot="1" x14ac:dyDescent="0.35">
      <c r="A18" s="19"/>
      <c r="B18" s="20" t="str" cm="1">
        <f t="array" ref="B18:F18">B4:F4</f>
        <v>Q1</v>
      </c>
      <c r="C18" s="20" t="str">
        <v>Q2</v>
      </c>
      <c r="D18" s="20" t="str">
        <v>Q3</v>
      </c>
      <c r="E18" s="20" t="str">
        <v>Q4</v>
      </c>
      <c r="F18" s="28" t="str">
        <v>YTD</v>
      </c>
    </row>
    <row r="19" spans="1:6" x14ac:dyDescent="0.3">
      <c r="A19" s="12" t="str" cm="1">
        <f t="array" ref="A19:A21">A5:A7</f>
        <v>Sector 1</v>
      </c>
      <c r="B19" s="12" cm="1">
        <f t="array" ref="B19:E21">B5:E7-B12:E14</f>
        <v>-0.06</v>
      </c>
      <c r="C19" s="12">
        <v>1.0000000000000002E-2</v>
      </c>
      <c r="D19" s="12">
        <v>0.1</v>
      </c>
      <c r="E19" s="12">
        <v>-0.04</v>
      </c>
      <c r="F19" s="26"/>
    </row>
    <row r="20" spans="1:6" x14ac:dyDescent="0.3">
      <c r="A20" s="12" t="str">
        <v>Sector 2</v>
      </c>
      <c r="B20" s="12">
        <v>-0.02</v>
      </c>
      <c r="C20" s="12">
        <v>-0.12</v>
      </c>
      <c r="D20" s="12">
        <v>0.02</v>
      </c>
      <c r="E20" s="12">
        <v>0</v>
      </c>
      <c r="F20" s="26"/>
    </row>
    <row r="21" spans="1:6" x14ac:dyDescent="0.3">
      <c r="A21" s="12" t="str">
        <v>Sector 3</v>
      </c>
      <c r="B21" s="12">
        <v>-0.26</v>
      </c>
      <c r="C21" s="12">
        <v>0.04</v>
      </c>
      <c r="D21" s="12">
        <v>0.31</v>
      </c>
      <c r="E21" s="12">
        <v>0.06</v>
      </c>
      <c r="F21" s="26"/>
    </row>
    <row r="22" spans="1:6" ht="15" thickBot="1" x14ac:dyDescent="0.35">
      <c r="A22" s="15" t="s">
        <v>14</v>
      </c>
      <c r="B22" s="15" cm="1">
        <f t="array" ref="B22:E22">_xlfn.BYCOL(B19:E21,_xleta.SUM)</f>
        <v>-0.34</v>
      </c>
      <c r="C22" s="15">
        <v>-6.9999999999999979E-2</v>
      </c>
      <c r="D22" s="15">
        <v>0.43</v>
      </c>
      <c r="E22" s="15">
        <v>1.9999999999999997E-2</v>
      </c>
      <c r="F22" s="22">
        <f>F8-F15</f>
        <v>4.2126719999999729E-2</v>
      </c>
    </row>
    <row r="24" spans="1:6" x14ac:dyDescent="0.3">
      <c r="A24" s="13" t="s">
        <v>21</v>
      </c>
    </row>
    <row r="25" spans="1:6" x14ac:dyDescent="0.3">
      <c r="A25" s="16"/>
      <c r="B25" s="16" cm="1">
        <f t="array" ref="B25:F25">Carino(B8:F8,B15:F15)</f>
        <v>0.99961125183044408</v>
      </c>
      <c r="C25" s="16">
        <v>1.0054399537399945</v>
      </c>
      <c r="D25" s="16">
        <v>1.0003667923221764</v>
      </c>
      <c r="E25" s="16">
        <v>0.86958713559345158</v>
      </c>
      <c r="F25" s="29">
        <v>0.88544375223740135</v>
      </c>
    </row>
    <row r="27" spans="1:6" x14ac:dyDescent="0.3">
      <c r="A27" s="13" t="s">
        <v>23</v>
      </c>
    </row>
    <row r="28" spans="1:6" ht="15" thickBot="1" x14ac:dyDescent="0.35">
      <c r="A28" s="19"/>
      <c r="B28" s="20" t="str" cm="1">
        <f t="array" ref="B28:F28">B4:F4</f>
        <v>Q1</v>
      </c>
      <c r="C28" s="20" t="str">
        <v>Q2</v>
      </c>
      <c r="D28" s="20" t="str">
        <v>Q3</v>
      </c>
      <c r="E28" s="20" t="str">
        <v>Q4</v>
      </c>
      <c r="F28" s="28" t="str">
        <v>YTD</v>
      </c>
    </row>
    <row r="29" spans="1:6" x14ac:dyDescent="0.3">
      <c r="A29" s="12" t="str" cm="1">
        <f t="array" ref="A29:A31">A5:A7</f>
        <v>Sector 1</v>
      </c>
      <c r="B29" s="17" cm="1">
        <f t="array" ref="B29:E31">_xlfn.ANCHORARRAY(B19)*B25:E25/F25</f>
        <v>-6.7736290372226782E-2</v>
      </c>
      <c r="C29" s="17">
        <v>1.1355209760070909E-2</v>
      </c>
      <c r="D29" s="17">
        <v>0.11297914630877225</v>
      </c>
      <c r="E29" s="17">
        <v>-3.9283675937454764E-2</v>
      </c>
      <c r="F29" s="26" cm="1">
        <f t="array" ref="F29:F31">_xlfn.BYROW(B29:E31,_xleta.SUM)</f>
        <v>1.7314389759161608E-2</v>
      </c>
    </row>
    <row r="30" spans="1:6" x14ac:dyDescent="0.3">
      <c r="A30" s="12" t="str">
        <v>Sector 2</v>
      </c>
      <c r="B30" s="17">
        <v>-2.2578763457408928E-2</v>
      </c>
      <c r="C30" s="17">
        <v>-0.13626251712085088</v>
      </c>
      <c r="D30" s="17">
        <v>2.2595829261754446E-2</v>
      </c>
      <c r="E30" s="17">
        <v>0</v>
      </c>
      <c r="F30" s="26">
        <v>-0.13624545131650537</v>
      </c>
    </row>
    <row r="31" spans="1:6" x14ac:dyDescent="0.3">
      <c r="A31" s="12" t="str">
        <v>Sector 3</v>
      </c>
      <c r="B31" s="17">
        <v>-0.29352392494631607</v>
      </c>
      <c r="C31" s="17">
        <v>4.5420839040283628E-2</v>
      </c>
      <c r="D31" s="17">
        <v>0.35023535355719393</v>
      </c>
      <c r="E31" s="17">
        <v>5.8925513906182149E-2</v>
      </c>
      <c r="F31" s="26">
        <v>0.16105778155734363</v>
      </c>
    </row>
    <row r="32" spans="1:6" ht="15" thickBot="1" x14ac:dyDescent="0.35">
      <c r="A32" s="15" t="s">
        <v>14</v>
      </c>
      <c r="B32" s="18" cm="1">
        <f t="array" ref="B32:E32">_xlfn.BYCOL(B29:E31,_xleta.SUM)</f>
        <v>-0.3838389787759518</v>
      </c>
      <c r="C32" s="18">
        <v>-7.9486468320496342E-2</v>
      </c>
      <c r="D32" s="18">
        <v>0.4858103291277206</v>
      </c>
      <c r="E32" s="18">
        <v>1.9641837968727385E-2</v>
      </c>
      <c r="F32" s="22">
        <f>SUM(_xlfn.ANCHORARRAY(F29))</f>
        <v>4.2126719999999868E-2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54BA-6626-4F5C-9C94-82D99769631C}">
  <dimension ref="A1:G32"/>
  <sheetViews>
    <sheetView workbookViewId="0">
      <selection activeCell="F29" sqref="F29"/>
    </sheetView>
  </sheetViews>
  <sheetFormatPr defaultRowHeight="14.4" x14ac:dyDescent="0.3"/>
  <sheetData>
    <row r="1" spans="1:6" ht="18" x14ac:dyDescent="0.35">
      <c r="A1" s="14" t="s">
        <v>26</v>
      </c>
      <c r="B1" s="14"/>
      <c r="C1" s="14"/>
      <c r="D1" s="14"/>
      <c r="E1" s="14"/>
      <c r="F1" s="23"/>
    </row>
    <row r="2" spans="1:6" s="31" customFormat="1" ht="10.8" x14ac:dyDescent="0.25">
      <c r="A2" s="31" t="s">
        <v>29</v>
      </c>
    </row>
    <row r="3" spans="1:6" s="31" customFormat="1" ht="10.8" x14ac:dyDescent="0.25"/>
    <row r="4" spans="1:6" x14ac:dyDescent="0.3">
      <c r="A4" t="s">
        <v>28</v>
      </c>
      <c r="B4" s="7">
        <v>0.5</v>
      </c>
    </row>
    <row r="5" spans="1:6" x14ac:dyDescent="0.3">
      <c r="A5" t="s">
        <v>27</v>
      </c>
      <c r="B5" s="5">
        <f>1-B4</f>
        <v>0.5</v>
      </c>
    </row>
    <row r="7" spans="1:6" x14ac:dyDescent="0.3">
      <c r="A7" s="13" t="s">
        <v>9</v>
      </c>
      <c r="B7" s="12"/>
      <c r="C7" s="12"/>
      <c r="D7" s="12"/>
      <c r="E7" s="12"/>
      <c r="F7" s="24"/>
    </row>
    <row r="8" spans="1:6" ht="15" thickBot="1" x14ac:dyDescent="0.35">
      <c r="A8" s="19"/>
      <c r="B8" s="20" t="s">
        <v>15</v>
      </c>
      <c r="C8" s="20" t="s">
        <v>16</v>
      </c>
      <c r="D8" s="20" t="s">
        <v>17</v>
      </c>
      <c r="E8" s="20" t="s">
        <v>18</v>
      </c>
      <c r="F8" s="25" t="s">
        <v>20</v>
      </c>
    </row>
    <row r="9" spans="1:6" x14ac:dyDescent="0.3">
      <c r="A9" s="12" t="s">
        <v>27</v>
      </c>
      <c r="B9" s="12">
        <v>0.1</v>
      </c>
      <c r="C9" s="12">
        <v>0.08</v>
      </c>
      <c r="D9" s="12">
        <v>0.05</v>
      </c>
      <c r="E9" s="12">
        <v>0.1</v>
      </c>
      <c r="F9" s="26" cm="1">
        <f t="array" ref="F9:F10">MMULT(B9:E10,TRANSPOSE(Carino(_xlfn.ANCHORARRAY(B11),)))/Carino(F11,)</f>
        <v>0.4302090823670669</v>
      </c>
    </row>
    <row r="10" spans="1:6" x14ac:dyDescent="0.3">
      <c r="A10" s="12" t="s">
        <v>28</v>
      </c>
      <c r="B10" s="12">
        <v>0.11</v>
      </c>
      <c r="C10" s="12">
        <v>0.06</v>
      </c>
      <c r="D10" s="12">
        <v>0.15</v>
      </c>
      <c r="E10" s="12">
        <v>7.0000000000000007E-2</v>
      </c>
      <c r="F10" s="26">
        <v>0.5064685176329331</v>
      </c>
    </row>
    <row r="11" spans="1:6" ht="15" thickBot="1" x14ac:dyDescent="0.35">
      <c r="A11" s="15" t="s">
        <v>14</v>
      </c>
      <c r="B11" s="15" cm="1">
        <f t="array" ref="B11:E11">_xlfn.BYCOL(B9:E10,_xleta.SUM)</f>
        <v>0.21000000000000002</v>
      </c>
      <c r="C11" s="15">
        <v>0.14000000000000001</v>
      </c>
      <c r="D11" s="15">
        <v>0.2</v>
      </c>
      <c r="E11" s="15">
        <v>0.17</v>
      </c>
      <c r="F11" s="27">
        <f>FVSCHEDULE(1,_xlfn.ANCHORARRAY(B11))-1</f>
        <v>0.93667759999999989</v>
      </c>
    </row>
    <row r="12" spans="1:6" x14ac:dyDescent="0.3">
      <c r="A12" s="12"/>
      <c r="B12" s="12"/>
      <c r="C12" s="12"/>
      <c r="D12" s="12"/>
      <c r="E12" s="12"/>
      <c r="F12" s="26"/>
    </row>
    <row r="13" spans="1:6" x14ac:dyDescent="0.3">
      <c r="A13" s="13" t="s">
        <v>10</v>
      </c>
      <c r="B13" s="12"/>
      <c r="C13" s="12"/>
      <c r="D13" s="12"/>
      <c r="E13" s="12"/>
      <c r="F13" s="26"/>
    </row>
    <row r="14" spans="1:6" ht="15" thickBot="1" x14ac:dyDescent="0.35">
      <c r="A14" s="19"/>
      <c r="B14" s="20" t="str" cm="1">
        <f t="array" ref="B14:F14">B8:F8</f>
        <v>Q1</v>
      </c>
      <c r="C14" s="20" t="str">
        <v>Q2</v>
      </c>
      <c r="D14" s="20" t="str">
        <v>Q3</v>
      </c>
      <c r="E14" s="20" t="str">
        <v>Q4</v>
      </c>
      <c r="F14" s="28" t="str">
        <v>YTD</v>
      </c>
    </row>
    <row r="15" spans="1:6" x14ac:dyDescent="0.3">
      <c r="A15" s="12" t="str" cm="1">
        <f t="array" ref="A15:A16">A9:A10</f>
        <v>Allocation</v>
      </c>
      <c r="B15" s="12">
        <v>0.04</v>
      </c>
      <c r="C15" s="12">
        <v>0.06</v>
      </c>
      <c r="D15" s="12">
        <v>0.04</v>
      </c>
      <c r="E15" s="12">
        <v>0.05</v>
      </c>
      <c r="F15" s="26" cm="1">
        <f t="array" ref="F15:F16">MMULT(B15:E16,TRANSPOSE(Carino(_xlfn.ANCHORARRAY(B17),)))/Carino(F17,)</f>
        <v>0.22224676967894347</v>
      </c>
    </row>
    <row r="16" spans="1:6" x14ac:dyDescent="0.3">
      <c r="A16" s="12" t="str">
        <v>Selection</v>
      </c>
      <c r="B16" s="12">
        <v>7.0000000000000007E-2</v>
      </c>
      <c r="C16" s="12">
        <v>0.03</v>
      </c>
      <c r="D16" s="12">
        <v>0.08</v>
      </c>
      <c r="E16" s="12">
        <v>0.05</v>
      </c>
      <c r="F16" s="26">
        <v>0.26835003032105698</v>
      </c>
    </row>
    <row r="17" spans="1:7" ht="15" thickBot="1" x14ac:dyDescent="0.35">
      <c r="A17" s="15" t="s">
        <v>14</v>
      </c>
      <c r="B17" s="15" cm="1">
        <f t="array" ref="B17:E17">_xlfn.BYCOL(B15:E16,_xleta.SUM)</f>
        <v>0.11000000000000001</v>
      </c>
      <c r="C17" s="15">
        <v>0.09</v>
      </c>
      <c r="D17" s="15">
        <v>0.12</v>
      </c>
      <c r="E17" s="15">
        <v>0.1</v>
      </c>
      <c r="F17" s="27">
        <f>FVSCHEDULE(1,_xlfn.ANCHORARRAY(B17))-1</f>
        <v>0.4905968000000005</v>
      </c>
    </row>
    <row r="18" spans="1:7" x14ac:dyDescent="0.3">
      <c r="A18" s="12"/>
      <c r="B18" s="12"/>
      <c r="C18" s="12"/>
      <c r="D18" s="12"/>
      <c r="E18" s="12"/>
      <c r="F18" s="24"/>
    </row>
    <row r="19" spans="1:7" x14ac:dyDescent="0.3">
      <c r="A19" s="13" t="s">
        <v>22</v>
      </c>
      <c r="B19" s="12"/>
      <c r="C19" s="12"/>
      <c r="D19" s="12"/>
      <c r="E19" s="12"/>
      <c r="F19" s="24"/>
    </row>
    <row r="20" spans="1:7" ht="15" thickBot="1" x14ac:dyDescent="0.35">
      <c r="A20" s="19"/>
      <c r="B20" s="20" t="str" cm="1">
        <f t="array" ref="B20:F20">B8:F8</f>
        <v>Q1</v>
      </c>
      <c r="C20" s="20" t="str">
        <v>Q2</v>
      </c>
      <c r="D20" s="20" t="str">
        <v>Q3</v>
      </c>
      <c r="E20" s="20" t="str">
        <v>Q4</v>
      </c>
      <c r="F20" s="28" t="str">
        <v>YTD</v>
      </c>
    </row>
    <row r="21" spans="1:7" x14ac:dyDescent="0.3">
      <c r="A21" s="12" t="str" cm="1">
        <f t="array" ref="A21:A22">A9:A10</f>
        <v>Allocation</v>
      </c>
      <c r="B21" s="12" cm="1">
        <f t="array" ref="B21:E22">B9:E10-B15:E16</f>
        <v>6.0000000000000005E-2</v>
      </c>
      <c r="C21" s="12">
        <v>2.0000000000000004E-2</v>
      </c>
      <c r="D21" s="12">
        <v>1.0000000000000002E-2</v>
      </c>
      <c r="E21" s="12">
        <v>0.05</v>
      </c>
      <c r="F21" s="26"/>
    </row>
    <row r="22" spans="1:7" x14ac:dyDescent="0.3">
      <c r="A22" s="12" t="str">
        <v>Selection</v>
      </c>
      <c r="B22" s="12">
        <v>3.9999999999999994E-2</v>
      </c>
      <c r="C22" s="12">
        <v>0.03</v>
      </c>
      <c r="D22" s="12">
        <v>6.9999999999999993E-2</v>
      </c>
      <c r="E22" s="12">
        <v>2.0000000000000004E-2</v>
      </c>
      <c r="F22" s="26"/>
    </row>
    <row r="23" spans="1:7" ht="15" thickBot="1" x14ac:dyDescent="0.35">
      <c r="A23" s="15" t="s">
        <v>14</v>
      </c>
      <c r="B23" s="15" cm="1">
        <f t="array" ref="B23:E23">_xlfn.BYCOL(B21:E22,_xleta.SUM)</f>
        <v>0.1</v>
      </c>
      <c r="C23" s="15">
        <v>0.05</v>
      </c>
      <c r="D23" s="15">
        <v>7.9999999999999988E-2</v>
      </c>
      <c r="E23" s="15">
        <v>7.0000000000000007E-2</v>
      </c>
      <c r="F23" s="22">
        <f>F11-F17</f>
        <v>0.44608079999999939</v>
      </c>
    </row>
    <row r="25" spans="1:7" x14ac:dyDescent="0.3">
      <c r="A25" s="13" t="s">
        <v>23</v>
      </c>
      <c r="B25" s="12"/>
      <c r="C25" s="12"/>
      <c r="D25" s="12"/>
      <c r="E25" s="12"/>
      <c r="F25" s="24"/>
    </row>
    <row r="26" spans="1:7" ht="15" thickBot="1" x14ac:dyDescent="0.35">
      <c r="A26" s="19"/>
      <c r="B26" s="20" t="str" cm="1">
        <f t="array" ref="B26:F26">B8:F8</f>
        <v>Q1</v>
      </c>
      <c r="C26" s="20" t="str">
        <v>Q2</v>
      </c>
      <c r="D26" s="20" t="str">
        <v>Q3</v>
      </c>
      <c r="E26" s="20" t="str">
        <v>Q4</v>
      </c>
      <c r="F26" s="28" t="str">
        <v>YTD</v>
      </c>
    </row>
    <row r="27" spans="1:7" x14ac:dyDescent="0.3">
      <c r="A27" s="12" t="str" cm="1">
        <f t="array" ref="A27:A28">A9:A10</f>
        <v>Allocation</v>
      </c>
      <c r="B27" s="17" cm="1">
        <f t="array" ref="B27:B28">B21:B22</f>
        <v>6.0000000000000005E-2</v>
      </c>
      <c r="C27" s="17" cm="1">
        <f t="array" ref="C27:C28">C21:C22*($B$4*FVSCHEDULE(1,$B11:B11)+$B$5*FVSCHEDULE(1,$B17:B17))+($B$4*C17+$B$5*C11)*_xlfn.BYROW($B27:B28,_xleta.SUM)</f>
        <v>3.0100000000000009E-2</v>
      </c>
      <c r="D27" s="17" cm="1">
        <f t="array" ref="D27:D28">D21:D22*($B$4*FVSCHEDULE(1,$B11:C11)+$B$5*FVSCHEDULE(1,$B17:C17))+($B$4*D17+$B$5*D11)*_xlfn.BYROW($B27:C28,_xleta.SUM)</f>
        <v>2.7362500000000005E-2</v>
      </c>
      <c r="E27" s="17" cm="1">
        <f t="array" ref="E27:E28">E21:E22*($B$4*FVSCHEDULE(1,$B11:D11)+$B$5*FVSCHEDULE(1,$B17:D17))+($B$4*E17+$B$5*E11)*_xlfn.BYROW($B27:D28,_xleta.SUM)</f>
        <v>9.1116637500000028E-2</v>
      </c>
      <c r="F27" s="26" cm="1">
        <f t="array" ref="F27:F28">_xlfn.BYROW(B27:E28,_xleta.SUM)</f>
        <v>0.20857913750000007</v>
      </c>
    </row>
    <row r="28" spans="1:7" x14ac:dyDescent="0.3">
      <c r="A28" s="12" t="str">
        <v>Selection</v>
      </c>
      <c r="B28" s="17">
        <v>3.9999999999999994E-2</v>
      </c>
      <c r="C28" s="17">
        <v>3.9400000000000004E-2</v>
      </c>
      <c r="D28" s="17">
        <v>0.10332950000000002</v>
      </c>
      <c r="E28" s="17">
        <v>5.4772162500000013E-2</v>
      </c>
      <c r="F28" s="26">
        <v>0.23750166250000004</v>
      </c>
    </row>
    <row r="29" spans="1:7" ht="15" thickBot="1" x14ac:dyDescent="0.35">
      <c r="A29" s="15" t="s">
        <v>14</v>
      </c>
      <c r="B29" s="18" cm="1">
        <f t="array" ref="B29:E29">_xlfn.BYCOL(B27:E28,_xleta.SUM)</f>
        <v>0.1</v>
      </c>
      <c r="C29" s="18">
        <v>6.9500000000000006E-2</v>
      </c>
      <c r="D29" s="18">
        <v>0.13069200000000003</v>
      </c>
      <c r="E29" s="18">
        <v>0.14588880000000004</v>
      </c>
      <c r="F29" s="22">
        <f>SUM(_xlfn.ANCHORARRAY(F27))</f>
        <v>0.44608080000000011</v>
      </c>
      <c r="G29" s="30"/>
    </row>
    <row r="31" spans="1:7" x14ac:dyDescent="0.3">
      <c r="A31" s="4" t="s">
        <v>24</v>
      </c>
    </row>
    <row r="32" spans="1:7" x14ac:dyDescent="0.3">
      <c r="A3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513A-782F-4A08-AA7B-0B438A2F25CF}">
  <dimension ref="A1:DQ60"/>
  <sheetViews>
    <sheetView tabSelected="1" workbookViewId="0">
      <selection activeCell="B3" sqref="B3"/>
    </sheetView>
  </sheetViews>
  <sheetFormatPr defaultRowHeight="14.4" x14ac:dyDescent="0.3"/>
  <cols>
    <col min="1" max="1" width="20.77734375" style="34" bestFit="1" customWidth="1"/>
    <col min="2" max="16384" width="8.88671875" style="34"/>
  </cols>
  <sheetData>
    <row r="1" spans="1:3" customFormat="1" ht="18" x14ac:dyDescent="0.35">
      <c r="A1" s="40" t="s">
        <v>41</v>
      </c>
      <c r="B1" s="40"/>
    </row>
    <row r="2" spans="1:3" customFormat="1" x14ac:dyDescent="0.3"/>
    <row r="3" spans="1:3" customFormat="1" x14ac:dyDescent="0.3">
      <c r="A3" t="s">
        <v>30</v>
      </c>
      <c r="B3" s="32">
        <v>10</v>
      </c>
      <c r="C3" s="38"/>
    </row>
    <row r="4" spans="1:3" customFormat="1" x14ac:dyDescent="0.3">
      <c r="A4" t="s">
        <v>31</v>
      </c>
      <c r="B4" s="32">
        <v>5</v>
      </c>
      <c r="C4" s="39" t="s">
        <v>42</v>
      </c>
    </row>
    <row r="5" spans="1:3" customFormat="1" x14ac:dyDescent="0.3">
      <c r="A5" t="s">
        <v>40</v>
      </c>
      <c r="B5" s="32">
        <v>12</v>
      </c>
      <c r="C5" s="38"/>
    </row>
    <row r="6" spans="1:3" customFormat="1" x14ac:dyDescent="0.3">
      <c r="A6" t="s">
        <v>34</v>
      </c>
      <c r="B6" s="32">
        <v>0.5</v>
      </c>
      <c r="C6" s="38" t="s">
        <v>32</v>
      </c>
    </row>
    <row r="7" spans="1:3" customFormat="1" x14ac:dyDescent="0.3">
      <c r="A7" t="s">
        <v>35</v>
      </c>
      <c r="B7" s="33">
        <v>0.05</v>
      </c>
      <c r="C7" s="38" t="s">
        <v>33</v>
      </c>
    </row>
    <row r="8" spans="1:3" customFormat="1" x14ac:dyDescent="0.3">
      <c r="A8" t="s">
        <v>36</v>
      </c>
      <c r="B8" s="33">
        <v>0.01</v>
      </c>
      <c r="C8" s="38" t="s">
        <v>37</v>
      </c>
    </row>
    <row r="9" spans="1:3" customFormat="1" x14ac:dyDescent="0.3">
      <c r="A9" t="s">
        <v>39</v>
      </c>
      <c r="B9" s="33">
        <v>0.02</v>
      </c>
      <c r="C9" s="38" t="s">
        <v>38</v>
      </c>
    </row>
    <row r="10" spans="1:3" customFormat="1" x14ac:dyDescent="0.3"/>
    <row r="11" spans="1:3" customFormat="1" x14ac:dyDescent="0.3"/>
    <row r="12" spans="1:3" customFormat="1" x14ac:dyDescent="0.3"/>
    <row r="13" spans="1:3" customFormat="1" x14ac:dyDescent="0.3"/>
    <row r="14" spans="1:3" customFormat="1" x14ac:dyDescent="0.3"/>
    <row r="15" spans="1:3" customFormat="1" x14ac:dyDescent="0.3"/>
    <row r="16" spans="1:3" customFormat="1" x14ac:dyDescent="0.3"/>
    <row r="17" spans="1:121" customFormat="1" x14ac:dyDescent="0.3"/>
    <row r="18" spans="1:121" customFormat="1" x14ac:dyDescent="0.3"/>
    <row r="19" spans="1:121" customFormat="1" x14ac:dyDescent="0.3"/>
    <row r="20" spans="1:121" customFormat="1" x14ac:dyDescent="0.3"/>
    <row r="21" spans="1:121" customFormat="1" x14ac:dyDescent="0.3"/>
    <row r="22" spans="1:121" customFormat="1" x14ac:dyDescent="0.3"/>
    <row r="23" spans="1:121" customFormat="1" x14ac:dyDescent="0.3"/>
    <row r="24" spans="1:121" customFormat="1" x14ac:dyDescent="0.3"/>
    <row r="25" spans="1:121" customFormat="1" x14ac:dyDescent="0.3"/>
    <row r="26" spans="1:121" customFormat="1" x14ac:dyDescent="0.3"/>
    <row r="27" spans="1:121" customFormat="1" x14ac:dyDescent="0.3"/>
    <row r="28" spans="1:121" customFormat="1" x14ac:dyDescent="0.3"/>
    <row r="29" spans="1:121" customFormat="1" x14ac:dyDescent="0.3"/>
    <row r="30" spans="1:121" s="35" customFormat="1" x14ac:dyDescent="0.3">
      <c r="A30" s="35" cm="1">
        <f t="array" ref="A30:DQ30">_xlfn.MAKEARRAY(1,B3*B5+1,_xlfn.LAMBDA(_xlpm._,_xlpm.c,IF(MOD(_xlpm.c-1,B5)=0,(_xlpm.c-1)/B5,"")))</f>
        <v>0</v>
      </c>
      <c r="B30" s="35" t="str">
        <v/>
      </c>
      <c r="C30" s="35" t="str">
        <v/>
      </c>
      <c r="D30" s="35" t="str">
        <v/>
      </c>
      <c r="E30" s="35" t="str">
        <v/>
      </c>
      <c r="F30" s="35" t="str">
        <v/>
      </c>
      <c r="G30" s="35" t="str">
        <v/>
      </c>
      <c r="H30" s="35" t="str">
        <v/>
      </c>
      <c r="I30" s="35" t="str">
        <v/>
      </c>
      <c r="J30" s="35" t="str">
        <v/>
      </c>
      <c r="K30" s="35" t="str">
        <v/>
      </c>
      <c r="L30" s="35" t="str">
        <v/>
      </c>
      <c r="M30" s="35">
        <v>1</v>
      </c>
      <c r="N30" s="35" t="str">
        <v/>
      </c>
      <c r="O30" s="35" t="str">
        <v/>
      </c>
      <c r="P30" s="35" t="str">
        <v/>
      </c>
      <c r="Q30" s="35" t="str">
        <v/>
      </c>
      <c r="R30" s="35" t="str">
        <v/>
      </c>
      <c r="S30" s="35" t="str">
        <v/>
      </c>
      <c r="T30" s="35" t="str">
        <v/>
      </c>
      <c r="U30" s="35" t="str">
        <v/>
      </c>
      <c r="V30" s="35" t="str">
        <v/>
      </c>
      <c r="W30" s="35" t="str">
        <v/>
      </c>
      <c r="X30" s="35" t="str">
        <v/>
      </c>
      <c r="Y30" s="35">
        <v>2</v>
      </c>
      <c r="Z30" s="35" t="str">
        <v/>
      </c>
      <c r="AA30" s="35" t="str">
        <v/>
      </c>
      <c r="AB30" s="35" t="str">
        <v/>
      </c>
      <c r="AC30" s="35" t="str">
        <v/>
      </c>
      <c r="AD30" s="35" t="str">
        <v/>
      </c>
      <c r="AE30" s="35" t="str">
        <v/>
      </c>
      <c r="AF30" s="35" t="str">
        <v/>
      </c>
      <c r="AG30" s="35" t="str">
        <v/>
      </c>
      <c r="AH30" s="35" t="str">
        <v/>
      </c>
      <c r="AI30" s="35" t="str">
        <v/>
      </c>
      <c r="AJ30" s="35" t="str">
        <v/>
      </c>
      <c r="AK30" s="35">
        <v>3</v>
      </c>
      <c r="AL30" s="35" t="str">
        <v/>
      </c>
      <c r="AM30" s="35" t="str">
        <v/>
      </c>
      <c r="AN30" s="35" t="str">
        <v/>
      </c>
      <c r="AO30" s="35" t="str">
        <v/>
      </c>
      <c r="AP30" s="35" t="str">
        <v/>
      </c>
      <c r="AQ30" s="35" t="str">
        <v/>
      </c>
      <c r="AR30" s="35" t="str">
        <v/>
      </c>
      <c r="AS30" s="35" t="str">
        <v/>
      </c>
      <c r="AT30" s="35" t="str">
        <v/>
      </c>
      <c r="AU30" s="35" t="str">
        <v/>
      </c>
      <c r="AV30" s="35" t="str">
        <v/>
      </c>
      <c r="AW30" s="35">
        <v>4</v>
      </c>
      <c r="AX30" s="35" t="str">
        <v/>
      </c>
      <c r="AY30" s="35" t="str">
        <v/>
      </c>
      <c r="AZ30" s="35" t="str">
        <v/>
      </c>
      <c r="BA30" s="35" t="str">
        <v/>
      </c>
      <c r="BB30" s="35" t="str">
        <v/>
      </c>
      <c r="BC30" s="35" t="str">
        <v/>
      </c>
      <c r="BD30" s="35" t="str">
        <v/>
      </c>
      <c r="BE30" s="35" t="str">
        <v/>
      </c>
      <c r="BF30" s="35" t="str">
        <v/>
      </c>
      <c r="BG30" s="35" t="str">
        <v/>
      </c>
      <c r="BH30" s="35" t="str">
        <v/>
      </c>
      <c r="BI30" s="35">
        <v>5</v>
      </c>
      <c r="BJ30" s="35" t="str">
        <v/>
      </c>
      <c r="BK30" s="35" t="str">
        <v/>
      </c>
      <c r="BL30" s="35" t="str">
        <v/>
      </c>
      <c r="BM30" s="35" t="str">
        <v/>
      </c>
      <c r="BN30" s="35" t="str">
        <v/>
      </c>
      <c r="BO30" s="35" t="str">
        <v/>
      </c>
      <c r="BP30" s="35" t="str">
        <v/>
      </c>
      <c r="BQ30" s="35" t="str">
        <v/>
      </c>
      <c r="BR30" s="35" t="str">
        <v/>
      </c>
      <c r="BS30" s="35" t="str">
        <v/>
      </c>
      <c r="BT30" s="35" t="str">
        <v/>
      </c>
      <c r="BU30" s="35">
        <v>6</v>
      </c>
      <c r="BV30" s="35" t="str">
        <v/>
      </c>
      <c r="BW30" s="35" t="str">
        <v/>
      </c>
      <c r="BX30" s="35" t="str">
        <v/>
      </c>
      <c r="BY30" s="35" t="str">
        <v/>
      </c>
      <c r="BZ30" s="35" t="str">
        <v/>
      </c>
      <c r="CA30" s="35" t="str">
        <v/>
      </c>
      <c r="CB30" s="35" t="str">
        <v/>
      </c>
      <c r="CC30" s="35" t="str">
        <v/>
      </c>
      <c r="CD30" s="35" t="str">
        <v/>
      </c>
      <c r="CE30" s="35" t="str">
        <v/>
      </c>
      <c r="CF30" s="35" t="str">
        <v/>
      </c>
      <c r="CG30" s="35">
        <v>7</v>
      </c>
      <c r="CH30" s="35" t="str">
        <v/>
      </c>
      <c r="CI30" s="35" t="str">
        <v/>
      </c>
      <c r="CJ30" s="35" t="str">
        <v/>
      </c>
      <c r="CK30" s="35" t="str">
        <v/>
      </c>
      <c r="CL30" s="35" t="str">
        <v/>
      </c>
      <c r="CM30" s="35" t="str">
        <v/>
      </c>
      <c r="CN30" s="35" t="str">
        <v/>
      </c>
      <c r="CO30" s="35" t="str">
        <v/>
      </c>
      <c r="CP30" s="35" t="str">
        <v/>
      </c>
      <c r="CQ30" s="35" t="str">
        <v/>
      </c>
      <c r="CR30" s="35" t="str">
        <v/>
      </c>
      <c r="CS30" s="35">
        <v>8</v>
      </c>
      <c r="CT30" s="35" t="str">
        <v/>
      </c>
      <c r="CU30" s="35" t="str">
        <v/>
      </c>
      <c r="CV30" s="35" t="str">
        <v/>
      </c>
      <c r="CW30" s="35" t="str">
        <v/>
      </c>
      <c r="CX30" s="35" t="str">
        <v/>
      </c>
      <c r="CY30" s="35" t="str">
        <v/>
      </c>
      <c r="CZ30" s="35" t="str">
        <v/>
      </c>
      <c r="DA30" s="35" t="str">
        <v/>
      </c>
      <c r="DB30" s="35" t="str">
        <v/>
      </c>
      <c r="DC30" s="35" t="str">
        <v/>
      </c>
      <c r="DD30" s="35" t="str">
        <v/>
      </c>
      <c r="DE30" s="35">
        <v>9</v>
      </c>
      <c r="DF30" s="35" t="str">
        <v/>
      </c>
      <c r="DG30" s="35" t="str">
        <v/>
      </c>
      <c r="DH30" s="35" t="str">
        <v/>
      </c>
      <c r="DI30" s="35" t="str">
        <v/>
      </c>
      <c r="DJ30" s="35" t="str">
        <v/>
      </c>
      <c r="DK30" s="35" t="str">
        <v/>
      </c>
      <c r="DL30" s="35" t="str">
        <v/>
      </c>
      <c r="DM30" s="35" t="str">
        <v/>
      </c>
      <c r="DN30" s="35" t="str">
        <v/>
      </c>
      <c r="DO30" s="35" t="str">
        <v/>
      </c>
      <c r="DP30" s="35" t="str">
        <v/>
      </c>
      <c r="DQ30" s="35">
        <v>10</v>
      </c>
    </row>
    <row r="31" spans="1:121" s="36" customFormat="1" x14ac:dyDescent="0.3">
      <c r="A31" s="36" cm="1">
        <f t="array" aca="1" ref="A31:DQ35" ca="1">_xlfn.SCAN(0, _xlfn.HSTACK(_xlfn.MAKEARRAY(B4,1,_xlfn.LAMBDA(_xlpm.x,_xlpm.y,FALSE)), _xlfn.NORM.S.INV(_xlfn.RANDARRAY(B4,B3*B5))), _xlfn.LAMBDA(_xlpm.r,_xlpm.p,IF(NOT(_xlpm.p),LN(1+B9),_xlpm.r+B6*(B7-_xlpm.r)/B5+_xlfn.NORM.S.INV(RAND())*B8*SQRT(_xlpm.r/B5))))</f>
        <v>1.980262729617973E-2</v>
      </c>
      <c r="B31" s="36">
        <f ca="1"/>
        <v>2.1054507337095785E-2</v>
      </c>
      <c r="C31" s="36">
        <f ca="1"/>
        <v>2.2421418963446814E-2</v>
      </c>
      <c r="D31" s="36">
        <f ca="1"/>
        <v>2.3236870090098373E-2</v>
      </c>
      <c r="E31" s="36">
        <f ca="1"/>
        <v>2.4501268734397116E-2</v>
      </c>
      <c r="F31" s="36">
        <f ca="1"/>
        <v>2.6039102599601918E-2</v>
      </c>
      <c r="G31" s="36">
        <f ca="1"/>
        <v>2.711491773358855E-2</v>
      </c>
      <c r="H31" s="36">
        <f ca="1"/>
        <v>2.8093712516192335E-2</v>
      </c>
      <c r="I31" s="36">
        <f ca="1"/>
        <v>2.8881076948835373E-2</v>
      </c>
      <c r="J31" s="36">
        <f ca="1"/>
        <v>3.0294386858633074E-2</v>
      </c>
      <c r="K31" s="36">
        <f ca="1"/>
        <v>3.1056120452517814E-2</v>
      </c>
      <c r="L31" s="36">
        <f ca="1"/>
        <v>3.1102698429140166E-2</v>
      </c>
      <c r="M31" s="36">
        <f ca="1"/>
        <v>3.1720455426683128E-2</v>
      </c>
      <c r="N31" s="36">
        <f ca="1"/>
        <v>3.2294308329130522E-2</v>
      </c>
      <c r="O31" s="36">
        <f ca="1"/>
        <v>3.2901418096278522E-2</v>
      </c>
      <c r="P31" s="36">
        <f ca="1"/>
        <v>3.3132282637457038E-2</v>
      </c>
      <c r="Q31" s="36">
        <f ca="1"/>
        <v>3.3290037543165236E-2</v>
      </c>
      <c r="R31" s="36">
        <f ca="1"/>
        <v>3.4036846499613679E-2</v>
      </c>
      <c r="S31" s="36">
        <f ca="1"/>
        <v>3.489500821636863E-2</v>
      </c>
      <c r="T31" s="36">
        <f ca="1"/>
        <v>3.5383990072502154E-2</v>
      </c>
      <c r="U31" s="36">
        <f ca="1"/>
        <v>3.6035548183913066E-2</v>
      </c>
      <c r="V31" s="36">
        <f ca="1"/>
        <v>3.5909279365137846E-2</v>
      </c>
      <c r="W31" s="36">
        <f ca="1"/>
        <v>3.6548780681920537E-2</v>
      </c>
      <c r="X31" s="36">
        <f ca="1"/>
        <v>3.6973636739269053E-2</v>
      </c>
      <c r="Y31" s="36">
        <f ca="1"/>
        <v>3.6365819958006522E-2</v>
      </c>
      <c r="Z31" s="36">
        <f ca="1"/>
        <v>3.6449587528279828E-2</v>
      </c>
      <c r="AA31" s="36">
        <f ca="1"/>
        <v>3.6913555063723374E-2</v>
      </c>
      <c r="AB31" s="36">
        <f ca="1"/>
        <v>3.8541707478515062E-2</v>
      </c>
      <c r="AC31" s="36">
        <f ca="1"/>
        <v>3.8290017819477773E-2</v>
      </c>
      <c r="AD31" s="36">
        <f ca="1"/>
        <v>3.8730489323511301E-2</v>
      </c>
      <c r="AE31" s="36">
        <f ca="1"/>
        <v>3.9661987394565092E-2</v>
      </c>
      <c r="AF31" s="36">
        <f ca="1"/>
        <v>3.9734055678248045E-2</v>
      </c>
      <c r="AG31" s="36">
        <f ca="1"/>
        <v>3.9757909153518955E-2</v>
      </c>
      <c r="AH31" s="36">
        <f ca="1"/>
        <v>3.9881283352255228E-2</v>
      </c>
      <c r="AI31" s="36">
        <f ca="1"/>
        <v>4.0757946467505426E-2</v>
      </c>
      <c r="AJ31" s="36">
        <f ca="1"/>
        <v>4.0855496915017137E-2</v>
      </c>
      <c r="AK31" s="36">
        <f ca="1"/>
        <v>4.1702780335947015E-2</v>
      </c>
      <c r="AL31" s="36">
        <f ca="1"/>
        <v>4.2020662532737944E-2</v>
      </c>
      <c r="AM31" s="36">
        <f ca="1"/>
        <v>4.1768344406808169E-2</v>
      </c>
      <c r="AN31" s="36">
        <f ca="1"/>
        <v>4.2466805440714663E-2</v>
      </c>
      <c r="AO31" s="36">
        <f ca="1"/>
        <v>4.3513836060232368E-2</v>
      </c>
      <c r="AP31" s="36">
        <f ca="1"/>
        <v>4.3784596989015927E-2</v>
      </c>
      <c r="AQ31" s="36">
        <f ca="1"/>
        <v>4.4813436874097293E-2</v>
      </c>
      <c r="AR31" s="36">
        <f ca="1"/>
        <v>4.4406944077442098E-2</v>
      </c>
      <c r="AS31" s="36">
        <f ca="1"/>
        <v>4.5116207844616785E-2</v>
      </c>
      <c r="AT31" s="36">
        <f ca="1"/>
        <v>4.5541217020121615E-2</v>
      </c>
      <c r="AU31" s="36">
        <f ca="1"/>
        <v>4.5023686407043517E-2</v>
      </c>
      <c r="AV31" s="36">
        <f ca="1"/>
        <v>4.605504148208487E-2</v>
      </c>
      <c r="AW31" s="36">
        <f ca="1"/>
        <v>4.6381957734119302E-2</v>
      </c>
      <c r="AX31" s="36">
        <f ca="1"/>
        <v>4.5176803592853296E-2</v>
      </c>
      <c r="AY31" s="36">
        <f ca="1"/>
        <v>4.5638248628840812E-2</v>
      </c>
      <c r="AZ31" s="36">
        <f ca="1"/>
        <v>4.4657685993649547E-2</v>
      </c>
      <c r="BA31" s="36">
        <f ca="1"/>
        <v>4.4613709918007102E-2</v>
      </c>
      <c r="BB31" s="36">
        <f ca="1"/>
        <v>4.578576887360377E-2</v>
      </c>
      <c r="BC31" s="36">
        <f ca="1"/>
        <v>4.6003029757315406E-2</v>
      </c>
      <c r="BD31" s="36">
        <f ca="1"/>
        <v>4.6328621988411818E-2</v>
      </c>
      <c r="BE31" s="36">
        <f ca="1"/>
        <v>4.5945484266977796E-2</v>
      </c>
      <c r="BF31" s="36">
        <f ca="1"/>
        <v>4.5722466018452153E-2</v>
      </c>
      <c r="BG31" s="36">
        <f ca="1"/>
        <v>4.52678037242987E-2</v>
      </c>
      <c r="BH31" s="36">
        <f ca="1"/>
        <v>4.5827294242179045E-2</v>
      </c>
      <c r="BI31" s="36">
        <f ca="1"/>
        <v>4.42966437456698E-2</v>
      </c>
      <c r="BJ31" s="36">
        <f ca="1"/>
        <v>4.402834236001623E-2</v>
      </c>
      <c r="BK31" s="36">
        <f ca="1"/>
        <v>4.3401609480556838E-2</v>
      </c>
      <c r="BL31" s="36">
        <f ca="1"/>
        <v>4.346156339811226E-2</v>
      </c>
      <c r="BM31" s="36">
        <f ca="1"/>
        <v>4.4792598378436917E-2</v>
      </c>
      <c r="BN31" s="36">
        <f ca="1"/>
        <v>4.5646573256353427E-2</v>
      </c>
      <c r="BO31" s="36">
        <f ca="1"/>
        <v>4.6842732302422488E-2</v>
      </c>
      <c r="BP31" s="36">
        <f ca="1"/>
        <v>4.6271441089361251E-2</v>
      </c>
      <c r="BQ31" s="36">
        <f ca="1"/>
        <v>4.6652541271897191E-2</v>
      </c>
      <c r="BR31" s="36">
        <f ca="1"/>
        <v>4.6669411520506209E-2</v>
      </c>
      <c r="BS31" s="36">
        <f ca="1"/>
        <v>4.7992330718573166E-2</v>
      </c>
      <c r="BT31" s="36">
        <f ca="1"/>
        <v>4.7059253459269583E-2</v>
      </c>
      <c r="BU31" s="36">
        <f ca="1"/>
        <v>4.7526918908578561E-2</v>
      </c>
      <c r="BV31" s="36">
        <f ca="1"/>
        <v>4.7115283579013664E-2</v>
      </c>
      <c r="BW31" s="36">
        <f ca="1"/>
        <v>4.6025243413714487E-2</v>
      </c>
      <c r="BX31" s="36">
        <f ca="1"/>
        <v>4.6767810060016131E-2</v>
      </c>
      <c r="BY31" s="36">
        <f ca="1"/>
        <v>4.731535379137905E-2</v>
      </c>
      <c r="BZ31" s="36">
        <f ca="1"/>
        <v>4.646103876766626E-2</v>
      </c>
      <c r="CA31" s="36">
        <f ca="1"/>
        <v>4.7401078078798002E-2</v>
      </c>
      <c r="CB31" s="36">
        <f ca="1"/>
        <v>4.7435151925033892E-2</v>
      </c>
      <c r="CC31" s="36">
        <f ca="1"/>
        <v>4.7550371697393387E-2</v>
      </c>
      <c r="CD31" s="36">
        <f ca="1"/>
        <v>4.7582969580411603E-2</v>
      </c>
      <c r="CE31" s="36">
        <f ca="1"/>
        <v>4.7672940647896886E-2</v>
      </c>
      <c r="CF31" s="36">
        <f ca="1"/>
        <v>4.7442696705152831E-2</v>
      </c>
      <c r="CG31" s="36">
        <f ca="1"/>
        <v>4.6971873118206817E-2</v>
      </c>
      <c r="CH31" s="36">
        <f ca="1"/>
        <v>4.709277620200264E-2</v>
      </c>
      <c r="CI31" s="36">
        <f ca="1"/>
        <v>4.6066370155336281E-2</v>
      </c>
      <c r="CJ31" s="36">
        <f ca="1"/>
        <v>4.635671706026126E-2</v>
      </c>
      <c r="CK31" s="36">
        <f ca="1"/>
        <v>4.6819359686379736E-2</v>
      </c>
      <c r="CL31" s="36">
        <f ca="1"/>
        <v>4.6742070455864163E-2</v>
      </c>
      <c r="CM31" s="36">
        <f ca="1"/>
        <v>4.791999917591256E-2</v>
      </c>
      <c r="CN31" s="36">
        <f ca="1"/>
        <v>4.7525402855847394E-2</v>
      </c>
      <c r="CO31" s="36">
        <f ca="1"/>
        <v>4.7339591839448407E-2</v>
      </c>
      <c r="CP31" s="36">
        <f ca="1"/>
        <v>4.6428074551355399E-2</v>
      </c>
      <c r="CQ31" s="36">
        <f ca="1"/>
        <v>4.6266722522737523E-2</v>
      </c>
      <c r="CR31" s="36">
        <f ca="1"/>
        <v>4.6756976451792914E-2</v>
      </c>
      <c r="CS31" s="36">
        <f ca="1"/>
        <v>4.5322169773473697E-2</v>
      </c>
      <c r="CT31" s="36">
        <f ca="1"/>
        <v>4.4197921392284886E-2</v>
      </c>
      <c r="CU31" s="36">
        <f ca="1"/>
        <v>4.3674252603220873E-2</v>
      </c>
      <c r="CV31" s="36">
        <f ca="1"/>
        <v>4.2914685572089495E-2</v>
      </c>
      <c r="CW31" s="36">
        <f ca="1"/>
        <v>4.3853722210451161E-2</v>
      </c>
      <c r="CX31" s="36">
        <f ca="1"/>
        <v>4.4812290246500734E-2</v>
      </c>
      <c r="CY31" s="36">
        <f ca="1"/>
        <v>4.5974673984426735E-2</v>
      </c>
      <c r="CZ31" s="36">
        <f ca="1"/>
        <v>4.7244204609066739E-2</v>
      </c>
      <c r="DA31" s="36">
        <f ca="1"/>
        <v>4.6956569222651734E-2</v>
      </c>
      <c r="DB31" s="36">
        <f ca="1"/>
        <v>4.6514995236075364E-2</v>
      </c>
      <c r="DC31" s="36">
        <f ca="1"/>
        <v>4.7478182256768788E-2</v>
      </c>
      <c r="DD31" s="36">
        <f ca="1"/>
        <v>4.9114185359646914E-2</v>
      </c>
      <c r="DE31" s="36">
        <f ca="1"/>
        <v>4.7963175987298712E-2</v>
      </c>
      <c r="DF31" s="36">
        <f ca="1"/>
        <v>4.7850564141275101E-2</v>
      </c>
      <c r="DG31" s="36">
        <f ca="1"/>
        <v>4.7997480772241127E-2</v>
      </c>
      <c r="DH31" s="36">
        <f ca="1"/>
        <v>4.7533564008360937E-2</v>
      </c>
      <c r="DI31" s="36">
        <f ca="1"/>
        <v>4.8193022222319463E-2</v>
      </c>
      <c r="DJ31" s="36">
        <f ca="1"/>
        <v>4.8939820522372016E-2</v>
      </c>
      <c r="DK31" s="36">
        <f ca="1"/>
        <v>5.064588138499334E-2</v>
      </c>
      <c r="DL31" s="36">
        <f ca="1"/>
        <v>5.0803583290193764E-2</v>
      </c>
      <c r="DM31" s="36">
        <f ca="1"/>
        <v>5.1203172095031724E-2</v>
      </c>
      <c r="DN31" s="36">
        <f ca="1"/>
        <v>5.1390163227650665E-2</v>
      </c>
      <c r="DO31" s="36">
        <f ca="1"/>
        <v>5.1275552118928605E-2</v>
      </c>
      <c r="DP31" s="36">
        <f ca="1"/>
        <v>5.1272823479603893E-2</v>
      </c>
      <c r="DQ31" s="36">
        <f ca="1"/>
        <v>5.1349423393965019E-2</v>
      </c>
    </row>
    <row r="32" spans="1:121" s="36" customFormat="1" x14ac:dyDescent="0.3">
      <c r="A32" s="36">
        <f ca="1"/>
        <v>1.980262729617973E-2</v>
      </c>
      <c r="B32" s="36">
        <f ca="1"/>
        <v>2.1904808727658726E-2</v>
      </c>
      <c r="C32" s="36">
        <f ca="1"/>
        <v>2.3116260864466984E-2</v>
      </c>
      <c r="D32" s="36">
        <f ca="1"/>
        <v>2.4497369388053861E-2</v>
      </c>
      <c r="E32" s="36">
        <f ca="1"/>
        <v>2.5396564390544194E-2</v>
      </c>
      <c r="F32" s="36">
        <f ca="1"/>
        <v>2.5674400857232521E-2</v>
      </c>
      <c r="G32" s="36">
        <f ca="1"/>
        <v>2.6795491139416962E-2</v>
      </c>
      <c r="H32" s="36">
        <f ca="1"/>
        <v>2.8087259637138064E-2</v>
      </c>
      <c r="I32" s="36">
        <f ca="1"/>
        <v>2.9636880090185162E-2</v>
      </c>
      <c r="J32" s="36">
        <f ca="1"/>
        <v>3.0133768968425997E-2</v>
      </c>
      <c r="K32" s="36">
        <f ca="1"/>
        <v>3.1008756026645792E-2</v>
      </c>
      <c r="L32" s="36">
        <f ca="1"/>
        <v>3.1982720772736666E-2</v>
      </c>
      <c r="M32" s="36">
        <f ca="1"/>
        <v>3.3078746536905249E-2</v>
      </c>
      <c r="N32" s="36">
        <f ca="1"/>
        <v>3.3472371852445601E-2</v>
      </c>
      <c r="O32" s="36">
        <f ca="1"/>
        <v>3.4886668729805122E-2</v>
      </c>
      <c r="P32" s="36">
        <f ca="1"/>
        <v>3.5971983358288467E-2</v>
      </c>
      <c r="Q32" s="36">
        <f ca="1"/>
        <v>3.6746679045442529E-2</v>
      </c>
      <c r="R32" s="36">
        <f ca="1"/>
        <v>3.7956697039127942E-2</v>
      </c>
      <c r="S32" s="36">
        <f ca="1"/>
        <v>3.7858157012849003E-2</v>
      </c>
      <c r="T32" s="36">
        <f ca="1"/>
        <v>3.8333863177643618E-2</v>
      </c>
      <c r="U32" s="36">
        <f ca="1"/>
        <v>3.8485634254521423E-2</v>
      </c>
      <c r="V32" s="36">
        <f ca="1"/>
        <v>3.9268239140458419E-2</v>
      </c>
      <c r="W32" s="36">
        <f ca="1"/>
        <v>4.0022815725862651E-2</v>
      </c>
      <c r="X32" s="36">
        <f ca="1"/>
        <v>3.9704124362592456E-2</v>
      </c>
      <c r="Y32" s="36">
        <f ca="1"/>
        <v>4.0099680955081339E-2</v>
      </c>
      <c r="Z32" s="36">
        <f ca="1"/>
        <v>4.17008707800832E-2</v>
      </c>
      <c r="AA32" s="36">
        <f ca="1"/>
        <v>4.1181196273554134E-2</v>
      </c>
      <c r="AB32" s="36">
        <f ca="1"/>
        <v>4.1444440511459305E-2</v>
      </c>
      <c r="AC32" s="36">
        <f ca="1"/>
        <v>4.1066723697755103E-2</v>
      </c>
      <c r="AD32" s="36">
        <f ca="1"/>
        <v>4.1345859502538669E-2</v>
      </c>
      <c r="AE32" s="36">
        <f ca="1"/>
        <v>4.1888165163798022E-2</v>
      </c>
      <c r="AF32" s="36">
        <f ca="1"/>
        <v>4.146613224217318E-2</v>
      </c>
      <c r="AG32" s="36">
        <f ca="1"/>
        <v>4.1019920154598502E-2</v>
      </c>
      <c r="AH32" s="36">
        <f ca="1"/>
        <v>4.056985613615624E-2</v>
      </c>
      <c r="AI32" s="36">
        <f ca="1"/>
        <v>4.1371755666686341E-2</v>
      </c>
      <c r="AJ32" s="36">
        <f ca="1"/>
        <v>4.1757082920211241E-2</v>
      </c>
      <c r="AK32" s="36">
        <f ca="1"/>
        <v>4.2104816080771289E-2</v>
      </c>
      <c r="AL32" s="36">
        <f ca="1"/>
        <v>4.2650599900813504E-2</v>
      </c>
      <c r="AM32" s="36">
        <f ca="1"/>
        <v>4.2374741604982655E-2</v>
      </c>
      <c r="AN32" s="36">
        <f ca="1"/>
        <v>4.2966009784203202E-2</v>
      </c>
      <c r="AO32" s="36">
        <f ca="1"/>
        <v>4.2827596001640475E-2</v>
      </c>
      <c r="AP32" s="36">
        <f ca="1"/>
        <v>4.3234235485500094E-2</v>
      </c>
      <c r="AQ32" s="36">
        <f ca="1"/>
        <v>4.2897417125754844E-2</v>
      </c>
      <c r="AR32" s="36">
        <f ca="1"/>
        <v>4.3071652815176442E-2</v>
      </c>
      <c r="AS32" s="36">
        <f ca="1"/>
        <v>4.4237885515261179E-2</v>
      </c>
      <c r="AT32" s="36">
        <f ca="1"/>
        <v>4.4320427182561614E-2</v>
      </c>
      <c r="AU32" s="36">
        <f ca="1"/>
        <v>4.3688311202200035E-2</v>
      </c>
      <c r="AV32" s="36">
        <f ca="1"/>
        <v>4.3035929343439507E-2</v>
      </c>
      <c r="AW32" s="36">
        <f ca="1"/>
        <v>4.3227758425048661E-2</v>
      </c>
      <c r="AX32" s="36">
        <f ca="1"/>
        <v>4.3398799634666391E-2</v>
      </c>
      <c r="AY32" s="36">
        <f ca="1"/>
        <v>4.3276609626699644E-2</v>
      </c>
      <c r="AZ32" s="36">
        <f ca="1"/>
        <v>4.2957226849627571E-2</v>
      </c>
      <c r="BA32" s="36">
        <f ca="1"/>
        <v>4.3731628904007037E-2</v>
      </c>
      <c r="BB32" s="36">
        <f ca="1"/>
        <v>4.4656203292771521E-2</v>
      </c>
      <c r="BC32" s="36">
        <f ca="1"/>
        <v>4.4766694020137165E-2</v>
      </c>
      <c r="BD32" s="36">
        <f ca="1"/>
        <v>4.3591436657502231E-2</v>
      </c>
      <c r="BE32" s="36">
        <f ca="1"/>
        <v>4.3683812767606738E-2</v>
      </c>
      <c r="BF32" s="36">
        <f ca="1"/>
        <v>4.3179657962612639E-2</v>
      </c>
      <c r="BG32" s="36">
        <f ca="1"/>
        <v>4.3173456900274028E-2</v>
      </c>
      <c r="BH32" s="36">
        <f ca="1"/>
        <v>4.3630288065588399E-2</v>
      </c>
      <c r="BI32" s="36">
        <f ca="1"/>
        <v>4.4610743068265055E-2</v>
      </c>
      <c r="BJ32" s="36">
        <f ca="1"/>
        <v>4.4022023665682204E-2</v>
      </c>
      <c r="BK32" s="36">
        <f ca="1"/>
        <v>4.4158162546093969E-2</v>
      </c>
      <c r="BL32" s="36">
        <f ca="1"/>
        <v>4.5103999623553069E-2</v>
      </c>
      <c r="BM32" s="36">
        <f ca="1"/>
        <v>4.5644199046951321E-2</v>
      </c>
      <c r="BN32" s="36">
        <f ca="1"/>
        <v>4.6928345053736012E-2</v>
      </c>
      <c r="BO32" s="36">
        <f ca="1"/>
        <v>4.7511994117882032E-2</v>
      </c>
      <c r="BP32" s="36">
        <f ca="1"/>
        <v>4.8174046365951725E-2</v>
      </c>
      <c r="BQ32" s="36">
        <f ca="1"/>
        <v>4.7245083024778853E-2</v>
      </c>
      <c r="BR32" s="36">
        <f ca="1"/>
        <v>4.7459290377556869E-2</v>
      </c>
      <c r="BS32" s="36">
        <f ca="1"/>
        <v>4.6843203838783196E-2</v>
      </c>
      <c r="BT32" s="36">
        <f ca="1"/>
        <v>4.6790452032097515E-2</v>
      </c>
      <c r="BU32" s="36">
        <f ca="1"/>
        <v>4.7275827882735738E-2</v>
      </c>
      <c r="BV32" s="36">
        <f ca="1"/>
        <v>4.7823650115746671E-2</v>
      </c>
      <c r="BW32" s="36">
        <f ca="1"/>
        <v>4.8703743463986142E-2</v>
      </c>
      <c r="BX32" s="36">
        <f ca="1"/>
        <v>4.8877101284418245E-2</v>
      </c>
      <c r="BY32" s="36">
        <f ca="1"/>
        <v>4.932353817077758E-2</v>
      </c>
      <c r="BZ32" s="36">
        <f ca="1"/>
        <v>4.8043621974269979E-2</v>
      </c>
      <c r="CA32" s="36">
        <f ca="1"/>
        <v>4.6762423729785507E-2</v>
      </c>
      <c r="CB32" s="36">
        <f ca="1"/>
        <v>4.7448161443716927E-2</v>
      </c>
      <c r="CC32" s="36">
        <f ca="1"/>
        <v>4.7785965667841351E-2</v>
      </c>
      <c r="CD32" s="36">
        <f ca="1"/>
        <v>4.7864553598397426E-2</v>
      </c>
      <c r="CE32" s="36">
        <f ca="1"/>
        <v>4.7524223957530747E-2</v>
      </c>
      <c r="CF32" s="36">
        <f ca="1"/>
        <v>4.7333917775808046E-2</v>
      </c>
      <c r="CG32" s="36">
        <f ca="1"/>
        <v>4.7696131765335999E-2</v>
      </c>
      <c r="CH32" s="36">
        <f ca="1"/>
        <v>4.8078611325929131E-2</v>
      </c>
      <c r="CI32" s="36">
        <f ca="1"/>
        <v>4.8004141722665788E-2</v>
      </c>
      <c r="CJ32" s="36">
        <f ca="1"/>
        <v>4.8614190881004868E-2</v>
      </c>
      <c r="CK32" s="36">
        <f ca="1"/>
        <v>4.8681544438221452E-2</v>
      </c>
      <c r="CL32" s="36">
        <f ca="1"/>
        <v>4.8465241058197918E-2</v>
      </c>
      <c r="CM32" s="36">
        <f ca="1"/>
        <v>4.7795417915646989E-2</v>
      </c>
      <c r="CN32" s="36">
        <f ca="1"/>
        <v>4.6589174543853154E-2</v>
      </c>
      <c r="CO32" s="36">
        <f ca="1"/>
        <v>4.6354697789550661E-2</v>
      </c>
      <c r="CP32" s="36">
        <f ca="1"/>
        <v>4.7207113882568645E-2</v>
      </c>
      <c r="CQ32" s="36">
        <f ca="1"/>
        <v>4.857375531967395E-2</v>
      </c>
      <c r="CR32" s="36">
        <f ca="1"/>
        <v>4.9319981987532548E-2</v>
      </c>
      <c r="CS32" s="36">
        <f ca="1"/>
        <v>4.9292791880531157E-2</v>
      </c>
      <c r="CT32" s="36">
        <f ca="1"/>
        <v>4.9633367210641127E-2</v>
      </c>
      <c r="CU32" s="36">
        <f ca="1"/>
        <v>4.9420282028177775E-2</v>
      </c>
      <c r="CV32" s="36">
        <f ca="1"/>
        <v>5.0072884873329587E-2</v>
      </c>
      <c r="CW32" s="36">
        <f ca="1"/>
        <v>5.0345180556301793E-2</v>
      </c>
      <c r="CX32" s="36">
        <f ca="1"/>
        <v>4.9967395705358957E-2</v>
      </c>
      <c r="CY32" s="36">
        <f ca="1"/>
        <v>4.9316035215040292E-2</v>
      </c>
      <c r="CZ32" s="36">
        <f ca="1"/>
        <v>4.9736366489652586E-2</v>
      </c>
      <c r="DA32" s="36">
        <f ca="1"/>
        <v>5.0967457084413199E-2</v>
      </c>
      <c r="DB32" s="36">
        <f ca="1"/>
        <v>5.0358510115882556E-2</v>
      </c>
      <c r="DC32" s="36">
        <f ca="1"/>
        <v>5.0514821317806401E-2</v>
      </c>
      <c r="DD32" s="36">
        <f ca="1"/>
        <v>5.050905802773311E-2</v>
      </c>
      <c r="DE32" s="36">
        <f ca="1"/>
        <v>4.9884036907647721E-2</v>
      </c>
      <c r="DF32" s="36">
        <f ca="1"/>
        <v>4.9419169491665735E-2</v>
      </c>
      <c r="DG32" s="36">
        <f ca="1"/>
        <v>4.9521137774132307E-2</v>
      </c>
      <c r="DH32" s="36">
        <f ca="1"/>
        <v>4.9527143117154185E-2</v>
      </c>
      <c r="DI32" s="36">
        <f ca="1"/>
        <v>4.8318048770530919E-2</v>
      </c>
      <c r="DJ32" s="36">
        <f ca="1"/>
        <v>4.7584535301087721E-2</v>
      </c>
      <c r="DK32" s="36">
        <f ca="1"/>
        <v>4.7830910918263782E-2</v>
      </c>
      <c r="DL32" s="36">
        <f ca="1"/>
        <v>4.8185826317394223E-2</v>
      </c>
      <c r="DM32" s="36">
        <f ca="1"/>
        <v>4.7825234300125127E-2</v>
      </c>
      <c r="DN32" s="36">
        <f ca="1"/>
        <v>4.7643934985078427E-2</v>
      </c>
      <c r="DO32" s="36">
        <f ca="1"/>
        <v>4.8203120307514821E-2</v>
      </c>
      <c r="DP32" s="36">
        <f ca="1"/>
        <v>4.7999500258848443E-2</v>
      </c>
      <c r="DQ32" s="36">
        <f ca="1"/>
        <v>4.7219393407484003E-2</v>
      </c>
    </row>
    <row r="33" spans="1:121" s="36" customFormat="1" x14ac:dyDescent="0.3">
      <c r="A33" s="36">
        <f ca="1"/>
        <v>1.980262729617973E-2</v>
      </c>
      <c r="B33" s="36">
        <f ca="1"/>
        <v>2.1051706603919907E-2</v>
      </c>
      <c r="C33" s="36">
        <f ca="1"/>
        <v>2.1811930404499993E-2</v>
      </c>
      <c r="D33" s="36">
        <f ca="1"/>
        <v>2.300019722078947E-2</v>
      </c>
      <c r="E33" s="36">
        <f ca="1"/>
        <v>2.4283979011798532E-2</v>
      </c>
      <c r="F33" s="36">
        <f ca="1"/>
        <v>2.5363842548206762E-2</v>
      </c>
      <c r="G33" s="36">
        <f ca="1"/>
        <v>2.7057132453621173E-2</v>
      </c>
      <c r="H33" s="36">
        <f ca="1"/>
        <v>2.7908703234055695E-2</v>
      </c>
      <c r="I33" s="36">
        <f ca="1"/>
        <v>2.8100461452650379E-2</v>
      </c>
      <c r="J33" s="36">
        <f ca="1"/>
        <v>2.8932301270888996E-2</v>
      </c>
      <c r="K33" s="36">
        <f ca="1"/>
        <v>3.0354284256754301E-2</v>
      </c>
      <c r="L33" s="36">
        <f ca="1"/>
        <v>3.0666021056896562E-2</v>
      </c>
      <c r="M33" s="36">
        <f ca="1"/>
        <v>3.1598338841718421E-2</v>
      </c>
      <c r="N33" s="36">
        <f ca="1"/>
        <v>3.2748629241787681E-2</v>
      </c>
      <c r="O33" s="36">
        <f ca="1"/>
        <v>3.4388304056770014E-2</v>
      </c>
      <c r="P33" s="36">
        <f ca="1"/>
        <v>3.5446002783722882E-2</v>
      </c>
      <c r="Q33" s="36">
        <f ca="1"/>
        <v>3.5441034998340504E-2</v>
      </c>
      <c r="R33" s="36">
        <f ca="1"/>
        <v>3.6538263477372088E-2</v>
      </c>
      <c r="S33" s="36">
        <f ca="1"/>
        <v>3.7078746090031908E-2</v>
      </c>
      <c r="T33" s="36">
        <f ca="1"/>
        <v>3.8220863624657583E-2</v>
      </c>
      <c r="U33" s="36">
        <f ca="1"/>
        <v>3.8896256734228508E-2</v>
      </c>
      <c r="V33" s="36">
        <f ca="1"/>
        <v>3.9323324117971119E-2</v>
      </c>
      <c r="W33" s="36">
        <f ca="1"/>
        <v>4.0239831132428794E-2</v>
      </c>
      <c r="X33" s="36">
        <f ca="1"/>
        <v>4.2183209907808217E-2</v>
      </c>
      <c r="Y33" s="36">
        <f ca="1"/>
        <v>4.3173877140667345E-2</v>
      </c>
      <c r="Z33" s="36">
        <f ca="1"/>
        <v>4.4621713611883808E-2</v>
      </c>
      <c r="AA33" s="36">
        <f ca="1"/>
        <v>4.398594805966325E-2</v>
      </c>
      <c r="AB33" s="36">
        <f ca="1"/>
        <v>4.4098018642321657E-2</v>
      </c>
      <c r="AC33" s="36">
        <f ca="1"/>
        <v>4.5517400538852178E-2</v>
      </c>
      <c r="AD33" s="36">
        <f ca="1"/>
        <v>4.5708839629967274E-2</v>
      </c>
      <c r="AE33" s="36">
        <f ca="1"/>
        <v>4.7041773650820518E-2</v>
      </c>
      <c r="AF33" s="36">
        <f ca="1"/>
        <v>4.7346208632675933E-2</v>
      </c>
      <c r="AG33" s="36">
        <f ca="1"/>
        <v>4.6095779270713337E-2</v>
      </c>
      <c r="AH33" s="36">
        <f ca="1"/>
        <v>4.6423034439245996E-2</v>
      </c>
      <c r="AI33" s="36">
        <f ca="1"/>
        <v>4.5763620158784532E-2</v>
      </c>
      <c r="AJ33" s="36">
        <f ca="1"/>
        <v>4.5694184025657933E-2</v>
      </c>
      <c r="AK33" s="36">
        <f ca="1"/>
        <v>4.532567082577784E-2</v>
      </c>
      <c r="AL33" s="36">
        <f ca="1"/>
        <v>4.5557119437365783E-2</v>
      </c>
      <c r="AM33" s="36">
        <f ca="1"/>
        <v>4.5830604214144685E-2</v>
      </c>
      <c r="AN33" s="36">
        <f ca="1"/>
        <v>4.7252010401132825E-2</v>
      </c>
      <c r="AO33" s="36">
        <f ca="1"/>
        <v>4.7099365996140022E-2</v>
      </c>
      <c r="AP33" s="36">
        <f ca="1"/>
        <v>4.6446158699966121E-2</v>
      </c>
      <c r="AQ33" s="36">
        <f ca="1"/>
        <v>4.6588644885406705E-2</v>
      </c>
      <c r="AR33" s="36">
        <f ca="1"/>
        <v>4.601574672631803E-2</v>
      </c>
      <c r="AS33" s="36">
        <f ca="1"/>
        <v>4.6371475024667652E-2</v>
      </c>
      <c r="AT33" s="36">
        <f ca="1"/>
        <v>4.6755559161772306E-2</v>
      </c>
      <c r="AU33" s="36">
        <f ca="1"/>
        <v>4.6678245140237065E-2</v>
      </c>
      <c r="AV33" s="36">
        <f ca="1"/>
        <v>4.6781036179032648E-2</v>
      </c>
      <c r="AW33" s="36">
        <f ca="1"/>
        <v>4.6158161987238433E-2</v>
      </c>
      <c r="AX33" s="36">
        <f ca="1"/>
        <v>4.6342357740389917E-2</v>
      </c>
      <c r="AY33" s="36">
        <f ca="1"/>
        <v>4.5610901143099632E-2</v>
      </c>
      <c r="AZ33" s="36">
        <f ca="1"/>
        <v>4.6232885422931899E-2</v>
      </c>
      <c r="BA33" s="36">
        <f ca="1"/>
        <v>4.6312268494399213E-2</v>
      </c>
      <c r="BB33" s="36">
        <f ca="1"/>
        <v>4.7866688009709196E-2</v>
      </c>
      <c r="BC33" s="36">
        <f ca="1"/>
        <v>4.7753805185818225E-2</v>
      </c>
      <c r="BD33" s="36">
        <f ca="1"/>
        <v>4.7993966789324827E-2</v>
      </c>
      <c r="BE33" s="36">
        <f ca="1"/>
        <v>4.7823259747863937E-2</v>
      </c>
      <c r="BF33" s="36">
        <f ca="1"/>
        <v>4.7624266293122886E-2</v>
      </c>
      <c r="BG33" s="36">
        <f ca="1"/>
        <v>4.8272213678049569E-2</v>
      </c>
      <c r="BH33" s="36">
        <f ca="1"/>
        <v>4.8501099689741166E-2</v>
      </c>
      <c r="BI33" s="36">
        <f ca="1"/>
        <v>4.9500733991899866E-2</v>
      </c>
      <c r="BJ33" s="36">
        <f ca="1"/>
        <v>4.9574043756527533E-2</v>
      </c>
      <c r="BK33" s="36">
        <f ca="1"/>
        <v>4.9137457518056572E-2</v>
      </c>
      <c r="BL33" s="36">
        <f ca="1"/>
        <v>4.9799209357313322E-2</v>
      </c>
      <c r="BM33" s="36">
        <f ca="1"/>
        <v>4.9319430189057711E-2</v>
      </c>
      <c r="BN33" s="36">
        <f ca="1"/>
        <v>4.7973675233891865E-2</v>
      </c>
      <c r="BO33" s="36">
        <f ca="1"/>
        <v>4.8059998709952631E-2</v>
      </c>
      <c r="BP33" s="36">
        <f ca="1"/>
        <v>4.8594543886563972E-2</v>
      </c>
      <c r="BQ33" s="36">
        <f ca="1"/>
        <v>4.7078537110163847E-2</v>
      </c>
      <c r="BR33" s="36">
        <f ca="1"/>
        <v>4.8094332886191686E-2</v>
      </c>
      <c r="BS33" s="36">
        <f ca="1"/>
        <v>4.8232964538945051E-2</v>
      </c>
      <c r="BT33" s="36">
        <f ca="1"/>
        <v>4.8320113397294841E-2</v>
      </c>
      <c r="BU33" s="36">
        <f ca="1"/>
        <v>4.8099473652856807E-2</v>
      </c>
      <c r="BV33" s="36">
        <f ca="1"/>
        <v>4.8984463925522304E-2</v>
      </c>
      <c r="BW33" s="36">
        <f ca="1"/>
        <v>5.1161136039109455E-2</v>
      </c>
      <c r="BX33" s="36">
        <f ca="1"/>
        <v>5.1240096809310721E-2</v>
      </c>
      <c r="BY33" s="36">
        <f ca="1"/>
        <v>5.1296818723591688E-2</v>
      </c>
      <c r="BZ33" s="36">
        <f ca="1"/>
        <v>5.1591621637798644E-2</v>
      </c>
      <c r="CA33" s="36">
        <f ca="1"/>
        <v>5.2097615958078609E-2</v>
      </c>
      <c r="CB33" s="36">
        <f ca="1"/>
        <v>5.1298164031321328E-2</v>
      </c>
      <c r="CC33" s="36">
        <f ca="1"/>
        <v>5.1844090782256061E-2</v>
      </c>
      <c r="CD33" s="36">
        <f ca="1"/>
        <v>5.321914500920015E-2</v>
      </c>
      <c r="CE33" s="36">
        <f ca="1"/>
        <v>5.3929280750086579E-2</v>
      </c>
      <c r="CF33" s="36">
        <f ca="1"/>
        <v>5.4006795830265367E-2</v>
      </c>
      <c r="CG33" s="36">
        <f ca="1"/>
        <v>5.3835528925750463E-2</v>
      </c>
      <c r="CH33" s="36">
        <f ca="1"/>
        <v>5.3918175766594433E-2</v>
      </c>
      <c r="CI33" s="36">
        <f ca="1"/>
        <v>5.3951744444819469E-2</v>
      </c>
      <c r="CJ33" s="36">
        <f ca="1"/>
        <v>5.3473114957341999E-2</v>
      </c>
      <c r="CK33" s="36">
        <f ca="1"/>
        <v>5.2697054413751249E-2</v>
      </c>
      <c r="CL33" s="36">
        <f ca="1"/>
        <v>5.2371696442415065E-2</v>
      </c>
      <c r="CM33" s="36">
        <f ca="1"/>
        <v>5.2164726645937597E-2</v>
      </c>
      <c r="CN33" s="36">
        <f ca="1"/>
        <v>5.3466319997410451E-2</v>
      </c>
      <c r="CO33" s="36">
        <f ca="1"/>
        <v>5.4417237680231344E-2</v>
      </c>
      <c r="CP33" s="36">
        <f ca="1"/>
        <v>5.4371915932470108E-2</v>
      </c>
      <c r="CQ33" s="36">
        <f ca="1"/>
        <v>5.3691746424889171E-2</v>
      </c>
      <c r="CR33" s="36">
        <f ca="1"/>
        <v>5.3895193854170305E-2</v>
      </c>
      <c r="CS33" s="36">
        <f ca="1"/>
        <v>5.3967484493776058E-2</v>
      </c>
      <c r="CT33" s="36">
        <f ca="1"/>
        <v>5.380274237073087E-2</v>
      </c>
      <c r="CU33" s="36">
        <f ca="1"/>
        <v>5.3814193838271226E-2</v>
      </c>
      <c r="CV33" s="36">
        <f ca="1"/>
        <v>5.2713687506809111E-2</v>
      </c>
      <c r="CW33" s="36">
        <f ca="1"/>
        <v>5.3507687740064161E-2</v>
      </c>
      <c r="CX33" s="36">
        <f ca="1"/>
        <v>5.3180646122472308E-2</v>
      </c>
      <c r="CY33" s="36">
        <f ca="1"/>
        <v>5.3022906624194031E-2</v>
      </c>
      <c r="CZ33" s="36">
        <f ca="1"/>
        <v>5.1986677295963395E-2</v>
      </c>
      <c r="DA33" s="36">
        <f ca="1"/>
        <v>5.244498707175857E-2</v>
      </c>
      <c r="DB33" s="36">
        <f ca="1"/>
        <v>5.2728336219680753E-2</v>
      </c>
      <c r="DC33" s="36">
        <f ca="1"/>
        <v>5.3379614984390485E-2</v>
      </c>
      <c r="DD33" s="36">
        <f ca="1"/>
        <v>5.2840466776272715E-2</v>
      </c>
      <c r="DE33" s="36">
        <f ca="1"/>
        <v>5.2955758268052482E-2</v>
      </c>
      <c r="DF33" s="36">
        <f ca="1"/>
        <v>5.3285622426443795E-2</v>
      </c>
      <c r="DG33" s="36">
        <f ca="1"/>
        <v>5.2103055440306405E-2</v>
      </c>
      <c r="DH33" s="36">
        <f ca="1"/>
        <v>5.365637438695111E-2</v>
      </c>
      <c r="DI33" s="36">
        <f ca="1"/>
        <v>5.4082347750618431E-2</v>
      </c>
      <c r="DJ33" s="36">
        <f ca="1"/>
        <v>5.3688216369158083E-2</v>
      </c>
      <c r="DK33" s="36">
        <f ca="1"/>
        <v>5.2713804166039255E-2</v>
      </c>
      <c r="DL33" s="36">
        <f ca="1"/>
        <v>5.1498944904964213E-2</v>
      </c>
      <c r="DM33" s="36">
        <f ca="1"/>
        <v>5.1545345357008512E-2</v>
      </c>
      <c r="DN33" s="36">
        <f ca="1"/>
        <v>5.1616465191682302E-2</v>
      </c>
      <c r="DO33" s="36">
        <f ca="1"/>
        <v>5.1568693150328582E-2</v>
      </c>
      <c r="DP33" s="36">
        <f ca="1"/>
        <v>5.2749965633630311E-2</v>
      </c>
      <c r="DQ33" s="36">
        <f ca="1"/>
        <v>5.4195277108280725E-2</v>
      </c>
    </row>
    <row r="34" spans="1:121" s="36" customFormat="1" x14ac:dyDescent="0.3">
      <c r="A34" s="36">
        <f ca="1"/>
        <v>1.980262729617973E-2</v>
      </c>
      <c r="B34" s="36">
        <f ca="1"/>
        <v>2.0818242354183319E-2</v>
      </c>
      <c r="C34" s="36">
        <f ca="1"/>
        <v>2.2171127965601441E-2</v>
      </c>
      <c r="D34" s="36">
        <f ca="1"/>
        <v>2.3198644870366551E-2</v>
      </c>
      <c r="E34" s="36">
        <f ca="1"/>
        <v>2.4082343445338439E-2</v>
      </c>
      <c r="F34" s="36">
        <f ca="1"/>
        <v>2.5321218864474391E-2</v>
      </c>
      <c r="G34" s="36">
        <f ca="1"/>
        <v>2.5661146191439454E-2</v>
      </c>
      <c r="H34" s="36">
        <f ca="1"/>
        <v>2.619500293261515E-2</v>
      </c>
      <c r="I34" s="36">
        <f ca="1"/>
        <v>2.707188879171854E-2</v>
      </c>
      <c r="J34" s="36">
        <f ca="1"/>
        <v>2.7342765347172067E-2</v>
      </c>
      <c r="K34" s="36">
        <f ca="1"/>
        <v>2.8405668249845417E-2</v>
      </c>
      <c r="L34" s="36">
        <f ca="1"/>
        <v>2.9607078678950443E-2</v>
      </c>
      <c r="M34" s="36">
        <f ca="1"/>
        <v>3.072291927895195E-2</v>
      </c>
      <c r="N34" s="36">
        <f ca="1"/>
        <v>3.1092711610691121E-2</v>
      </c>
      <c r="O34" s="36">
        <f ca="1"/>
        <v>3.2178391170903098E-2</v>
      </c>
      <c r="P34" s="36">
        <f ca="1"/>
        <v>3.2549298108537933E-2</v>
      </c>
      <c r="Q34" s="36">
        <f ca="1"/>
        <v>3.2854736328492729E-2</v>
      </c>
      <c r="R34" s="36">
        <f ca="1"/>
        <v>3.3284489134652526E-2</v>
      </c>
      <c r="S34" s="36">
        <f ca="1"/>
        <v>3.3963854787902037E-2</v>
      </c>
      <c r="T34" s="36">
        <f ca="1"/>
        <v>3.4588565859947476E-2</v>
      </c>
      <c r="U34" s="36">
        <f ca="1"/>
        <v>3.5230782742832235E-2</v>
      </c>
      <c r="V34" s="36">
        <f ca="1"/>
        <v>3.5469208258335418E-2</v>
      </c>
      <c r="W34" s="36">
        <f ca="1"/>
        <v>3.6467701399555144E-2</v>
      </c>
      <c r="X34" s="36">
        <f ca="1"/>
        <v>3.6643873848876789E-2</v>
      </c>
      <c r="Y34" s="36">
        <f ca="1"/>
        <v>3.6362999820532572E-2</v>
      </c>
      <c r="Z34" s="36">
        <f ca="1"/>
        <v>3.5982721229349965E-2</v>
      </c>
      <c r="AA34" s="36">
        <f ca="1"/>
        <v>3.7066834300895642E-2</v>
      </c>
      <c r="AB34" s="36">
        <f ca="1"/>
        <v>3.7187038496740217E-2</v>
      </c>
      <c r="AC34" s="36">
        <f ca="1"/>
        <v>3.7091088026503689E-2</v>
      </c>
      <c r="AD34" s="36">
        <f ca="1"/>
        <v>3.6664958093157687E-2</v>
      </c>
      <c r="AE34" s="36">
        <f ca="1"/>
        <v>3.7356598540287042E-2</v>
      </c>
      <c r="AF34" s="36">
        <f ca="1"/>
        <v>3.7419874175651346E-2</v>
      </c>
      <c r="AG34" s="36">
        <f ca="1"/>
        <v>3.7195810362031907E-2</v>
      </c>
      <c r="AH34" s="36">
        <f ca="1"/>
        <v>3.7518258662387061E-2</v>
      </c>
      <c r="AI34" s="36">
        <f ca="1"/>
        <v>3.743618896817711E-2</v>
      </c>
      <c r="AJ34" s="36">
        <f ca="1"/>
        <v>3.7709924144787146E-2</v>
      </c>
      <c r="AK34" s="36">
        <f ca="1"/>
        <v>3.8898613472577392E-2</v>
      </c>
      <c r="AL34" s="36">
        <f ca="1"/>
        <v>4.0217977821787897E-2</v>
      </c>
      <c r="AM34" s="36">
        <f ca="1"/>
        <v>4.1417856644968436E-2</v>
      </c>
      <c r="AN34" s="36">
        <f ca="1"/>
        <v>4.219286711144072E-2</v>
      </c>
      <c r="AO34" s="36">
        <f ca="1"/>
        <v>4.264562893752482E-2</v>
      </c>
      <c r="AP34" s="36">
        <f ca="1"/>
        <v>4.2752968030279268E-2</v>
      </c>
      <c r="AQ34" s="36">
        <f ca="1"/>
        <v>4.3142701684654297E-2</v>
      </c>
      <c r="AR34" s="36">
        <f ca="1"/>
        <v>4.418085062476873E-2</v>
      </c>
      <c r="AS34" s="36">
        <f ca="1"/>
        <v>4.4037507470768664E-2</v>
      </c>
      <c r="AT34" s="36">
        <f ca="1"/>
        <v>4.4194286275464463E-2</v>
      </c>
      <c r="AU34" s="36">
        <f ca="1"/>
        <v>4.5620313707039624E-2</v>
      </c>
      <c r="AV34" s="36">
        <f ca="1"/>
        <v>4.4844954063796204E-2</v>
      </c>
      <c r="AW34" s="36">
        <f ca="1"/>
        <v>4.4904697978991791E-2</v>
      </c>
      <c r="AX34" s="36">
        <f ca="1"/>
        <v>4.5209103120289376E-2</v>
      </c>
      <c r="AY34" s="36">
        <f ca="1"/>
        <v>4.6378542373442022E-2</v>
      </c>
      <c r="AZ34" s="36">
        <f ca="1"/>
        <v>4.6830704589641198E-2</v>
      </c>
      <c r="BA34" s="36">
        <f ca="1"/>
        <v>4.5979363777669188E-2</v>
      </c>
      <c r="BB34" s="36">
        <f ca="1"/>
        <v>4.7027837929503311E-2</v>
      </c>
      <c r="BC34" s="36">
        <f ca="1"/>
        <v>4.8851570388876144E-2</v>
      </c>
      <c r="BD34" s="36">
        <f ca="1"/>
        <v>4.8807719473140547E-2</v>
      </c>
      <c r="BE34" s="36">
        <f ca="1"/>
        <v>4.9117315730942621E-2</v>
      </c>
      <c r="BF34" s="36">
        <f ca="1"/>
        <v>4.8646462770861577E-2</v>
      </c>
      <c r="BG34" s="36">
        <f ca="1"/>
        <v>4.8445032996911844E-2</v>
      </c>
      <c r="BH34" s="36">
        <f ca="1"/>
        <v>4.8434059780388089E-2</v>
      </c>
      <c r="BI34" s="36">
        <f ca="1"/>
        <v>4.9374961327661213E-2</v>
      </c>
      <c r="BJ34" s="36">
        <f ca="1"/>
        <v>4.8693927679308142E-2</v>
      </c>
      <c r="BK34" s="36">
        <f ca="1"/>
        <v>4.8137812187780654E-2</v>
      </c>
      <c r="BL34" s="36">
        <f ca="1"/>
        <v>4.77209583796845E-2</v>
      </c>
      <c r="BM34" s="36">
        <f ca="1"/>
        <v>4.7401809941420354E-2</v>
      </c>
      <c r="BN34" s="36">
        <f ca="1"/>
        <v>4.6645832061626973E-2</v>
      </c>
      <c r="BO34" s="36">
        <f ca="1"/>
        <v>4.6276811248493352E-2</v>
      </c>
      <c r="BP34" s="36">
        <f ca="1"/>
        <v>4.6294145615474513E-2</v>
      </c>
      <c r="BQ34" s="36">
        <f ca="1"/>
        <v>4.6435698595550058E-2</v>
      </c>
      <c r="BR34" s="36">
        <f ca="1"/>
        <v>4.6375434966441267E-2</v>
      </c>
      <c r="BS34" s="36">
        <f ca="1"/>
        <v>4.7919342064849345E-2</v>
      </c>
      <c r="BT34" s="36">
        <f ca="1"/>
        <v>4.875951673722205E-2</v>
      </c>
      <c r="BU34" s="36">
        <f ca="1"/>
        <v>4.8976756649933229E-2</v>
      </c>
      <c r="BV34" s="36">
        <f ca="1"/>
        <v>4.9320015971046072E-2</v>
      </c>
      <c r="BW34" s="36">
        <f ca="1"/>
        <v>4.9678968563601988E-2</v>
      </c>
      <c r="BX34" s="36">
        <f ca="1"/>
        <v>4.8554675774053473E-2</v>
      </c>
      <c r="BY34" s="36">
        <f ca="1"/>
        <v>4.8550191872233563E-2</v>
      </c>
      <c r="BZ34" s="36">
        <f ca="1"/>
        <v>4.8181384556859379E-2</v>
      </c>
      <c r="CA34" s="36">
        <f ca="1"/>
        <v>4.8670341254176984E-2</v>
      </c>
      <c r="CB34" s="36">
        <f ca="1"/>
        <v>5.0025095337983237E-2</v>
      </c>
      <c r="CC34" s="36">
        <f ca="1"/>
        <v>5.100303012844188E-2</v>
      </c>
      <c r="CD34" s="36">
        <f ca="1"/>
        <v>5.1972924607535491E-2</v>
      </c>
      <c r="CE34" s="36">
        <f ca="1"/>
        <v>5.1350439912618388E-2</v>
      </c>
      <c r="CF34" s="36">
        <f ca="1"/>
        <v>5.257842706030777E-2</v>
      </c>
      <c r="CG34" s="36">
        <f ca="1"/>
        <v>5.2907582286687238E-2</v>
      </c>
      <c r="CH34" s="36">
        <f ca="1"/>
        <v>5.3364475507872003E-2</v>
      </c>
      <c r="CI34" s="36">
        <f ca="1"/>
        <v>5.2996412119736436E-2</v>
      </c>
      <c r="CJ34" s="36">
        <f ca="1"/>
        <v>5.2209044234742062E-2</v>
      </c>
      <c r="CK34" s="36">
        <f ca="1"/>
        <v>5.218501737971952E-2</v>
      </c>
      <c r="CL34" s="36">
        <f ca="1"/>
        <v>5.2610786882366437E-2</v>
      </c>
      <c r="CM34" s="36">
        <f ca="1"/>
        <v>5.1585850310568407E-2</v>
      </c>
      <c r="CN34" s="36">
        <f ca="1"/>
        <v>5.1748765509237522E-2</v>
      </c>
      <c r="CO34" s="36">
        <f ca="1"/>
        <v>5.1589749721332366E-2</v>
      </c>
      <c r="CP34" s="36">
        <f ca="1"/>
        <v>5.1971436520013903E-2</v>
      </c>
      <c r="CQ34" s="36">
        <f ca="1"/>
        <v>5.1567816695655605E-2</v>
      </c>
      <c r="CR34" s="36">
        <f ca="1"/>
        <v>5.1573078831358483E-2</v>
      </c>
      <c r="CS34" s="36">
        <f ca="1"/>
        <v>5.2289395565468848E-2</v>
      </c>
      <c r="CT34" s="36">
        <f ca="1"/>
        <v>5.225331462571664E-2</v>
      </c>
      <c r="CU34" s="36">
        <f ca="1"/>
        <v>5.2850292779267095E-2</v>
      </c>
      <c r="CV34" s="36">
        <f ca="1"/>
        <v>5.3291856685241362E-2</v>
      </c>
      <c r="CW34" s="36">
        <f ca="1"/>
        <v>5.2899902306590474E-2</v>
      </c>
      <c r="CX34" s="36">
        <f ca="1"/>
        <v>5.2291959149852713E-2</v>
      </c>
      <c r="CY34" s="36">
        <f ca="1"/>
        <v>5.2862123927510274E-2</v>
      </c>
      <c r="CZ34" s="36">
        <f ca="1"/>
        <v>5.3534960805088946E-2</v>
      </c>
      <c r="DA34" s="36">
        <f ca="1"/>
        <v>5.3229019822845045E-2</v>
      </c>
      <c r="DB34" s="36">
        <f ca="1"/>
        <v>5.2557754712138381E-2</v>
      </c>
      <c r="DC34" s="36">
        <f ca="1"/>
        <v>5.3376382302648205E-2</v>
      </c>
      <c r="DD34" s="36">
        <f ca="1"/>
        <v>5.3422548180007502E-2</v>
      </c>
      <c r="DE34" s="36">
        <f ca="1"/>
        <v>5.303629804938035E-2</v>
      </c>
      <c r="DF34" s="36">
        <f ca="1"/>
        <v>5.2640176580876975E-2</v>
      </c>
      <c r="DG34" s="36">
        <f ca="1"/>
        <v>5.1515466468725922E-2</v>
      </c>
      <c r="DH34" s="36">
        <f ca="1"/>
        <v>5.221265630994807E-2</v>
      </c>
      <c r="DI34" s="36">
        <f ca="1"/>
        <v>5.1200345042171712E-2</v>
      </c>
      <c r="DJ34" s="36">
        <f ca="1"/>
        <v>5.134811823624448E-2</v>
      </c>
      <c r="DK34" s="36">
        <f ca="1"/>
        <v>5.1511928599499414E-2</v>
      </c>
      <c r="DL34" s="36">
        <f ca="1"/>
        <v>5.2025521471004949E-2</v>
      </c>
      <c r="DM34" s="36">
        <f ca="1"/>
        <v>5.2528590191220172E-2</v>
      </c>
      <c r="DN34" s="36">
        <f ca="1"/>
        <v>5.2657224412844067E-2</v>
      </c>
      <c r="DO34" s="36">
        <f ca="1"/>
        <v>5.1970963427400277E-2</v>
      </c>
      <c r="DP34" s="36">
        <f ca="1"/>
        <v>5.1951612313109442E-2</v>
      </c>
      <c r="DQ34" s="36">
        <f ca="1"/>
        <v>5.1761548790779696E-2</v>
      </c>
    </row>
    <row r="35" spans="1:121" s="36" customFormat="1" x14ac:dyDescent="0.3">
      <c r="A35" s="36">
        <f ca="1"/>
        <v>1.980262729617973E-2</v>
      </c>
      <c r="B35" s="36">
        <f ca="1"/>
        <v>2.1039346288467618E-2</v>
      </c>
      <c r="C35" s="36">
        <f ca="1"/>
        <v>2.2653455887526333E-2</v>
      </c>
      <c r="D35" s="36">
        <f ca="1"/>
        <v>2.4204375073093382E-2</v>
      </c>
      <c r="E35" s="36">
        <f ca="1"/>
        <v>2.5216928419932429E-2</v>
      </c>
      <c r="F35" s="36">
        <f ca="1"/>
        <v>2.5654736209642377E-2</v>
      </c>
      <c r="G35" s="36">
        <f ca="1"/>
        <v>2.7077758094352821E-2</v>
      </c>
      <c r="H35" s="36">
        <f ca="1"/>
        <v>2.7923156240980775E-2</v>
      </c>
      <c r="I35" s="36">
        <f ca="1"/>
        <v>2.8619706310817526E-2</v>
      </c>
      <c r="J35" s="36">
        <f ca="1"/>
        <v>2.9689031133539916E-2</v>
      </c>
      <c r="K35" s="36">
        <f ca="1"/>
        <v>2.9632851468009765E-2</v>
      </c>
      <c r="L35" s="36">
        <f ca="1"/>
        <v>3.0983120428693181E-2</v>
      </c>
      <c r="M35" s="36">
        <f ca="1"/>
        <v>3.11302456526148E-2</v>
      </c>
      <c r="N35" s="36">
        <f ca="1"/>
        <v>3.2882157749461509E-2</v>
      </c>
      <c r="O35" s="36">
        <f ca="1"/>
        <v>3.2601418526419762E-2</v>
      </c>
      <c r="P35" s="36">
        <f ca="1"/>
        <v>3.3309169986167508E-2</v>
      </c>
      <c r="Q35" s="36">
        <f ca="1"/>
        <v>3.3581185604210216E-2</v>
      </c>
      <c r="R35" s="36">
        <f ca="1"/>
        <v>3.4085909075977507E-2</v>
      </c>
      <c r="S35" s="36">
        <f ca="1"/>
        <v>3.5216125055125662E-2</v>
      </c>
      <c r="T35" s="36">
        <f ca="1"/>
        <v>3.6063306052002447E-2</v>
      </c>
      <c r="U35" s="36">
        <f ca="1"/>
        <v>3.5721977462177743E-2</v>
      </c>
      <c r="V35" s="36">
        <f ca="1"/>
        <v>3.6342650380568491E-2</v>
      </c>
      <c r="W35" s="36">
        <f ca="1"/>
        <v>3.7459194764728872E-2</v>
      </c>
      <c r="X35" s="36">
        <f ca="1"/>
        <v>3.7832950998366532E-2</v>
      </c>
      <c r="Y35" s="36">
        <f ca="1"/>
        <v>3.8190773986929348E-2</v>
      </c>
      <c r="Z35" s="36">
        <f ca="1"/>
        <v>3.8504137261295847E-2</v>
      </c>
      <c r="AA35" s="36">
        <f ca="1"/>
        <v>3.9362161647305272E-2</v>
      </c>
      <c r="AB35" s="36">
        <f ca="1"/>
        <v>3.9689114420441554E-2</v>
      </c>
      <c r="AC35" s="36">
        <f ca="1"/>
        <v>4.0358432169909975E-2</v>
      </c>
      <c r="AD35" s="36">
        <f ca="1"/>
        <v>4.0492810237147264E-2</v>
      </c>
      <c r="AE35" s="36">
        <f ca="1"/>
        <v>4.1714248006261473E-2</v>
      </c>
      <c r="AF35" s="36">
        <f ca="1"/>
        <v>4.0993194801601116E-2</v>
      </c>
      <c r="AG35" s="36">
        <f ca="1"/>
        <v>4.0801426834814886E-2</v>
      </c>
      <c r="AH35" s="36">
        <f ca="1"/>
        <v>4.0944431424418677E-2</v>
      </c>
      <c r="AI35" s="36">
        <f ca="1"/>
        <v>4.1320698631274563E-2</v>
      </c>
      <c r="AJ35" s="36">
        <f ca="1"/>
        <v>4.1812910468533138E-2</v>
      </c>
      <c r="AK35" s="36">
        <f ca="1"/>
        <v>4.2336345053548101E-2</v>
      </c>
      <c r="AL35" s="36">
        <f ca="1"/>
        <v>4.4352800319597811E-2</v>
      </c>
      <c r="AM35" s="36">
        <f ca="1"/>
        <v>4.3631117189709558E-2</v>
      </c>
      <c r="AN35" s="36">
        <f ca="1"/>
        <v>4.3858966519760616E-2</v>
      </c>
      <c r="AO35" s="36">
        <f ca="1"/>
        <v>4.4037597263494495E-2</v>
      </c>
      <c r="AP35" s="36">
        <f ca="1"/>
        <v>4.5171682331073264E-2</v>
      </c>
      <c r="AQ35" s="36">
        <f ca="1"/>
        <v>4.5727522861256691E-2</v>
      </c>
      <c r="AR35" s="36">
        <f ca="1"/>
        <v>4.575458209041889E-2</v>
      </c>
      <c r="AS35" s="36">
        <f ca="1"/>
        <v>4.6776504530204911E-2</v>
      </c>
      <c r="AT35" s="36">
        <f ca="1"/>
        <v>4.7180778441874682E-2</v>
      </c>
      <c r="AU35" s="36">
        <f ca="1"/>
        <v>4.795273476418524E-2</v>
      </c>
      <c r="AV35" s="36">
        <f ca="1"/>
        <v>4.7348162943302095E-2</v>
      </c>
      <c r="AW35" s="36">
        <f ca="1"/>
        <v>4.8563333406786688E-2</v>
      </c>
      <c r="AX35" s="36">
        <f ca="1"/>
        <v>4.9182099941941372E-2</v>
      </c>
      <c r="AY35" s="36">
        <f ca="1"/>
        <v>5.0766736583499443E-2</v>
      </c>
      <c r="AZ35" s="36">
        <f ca="1"/>
        <v>5.2086335968360084E-2</v>
      </c>
      <c r="BA35" s="36">
        <f ca="1"/>
        <v>5.1162330685052534E-2</v>
      </c>
      <c r="BB35" s="36">
        <f ca="1"/>
        <v>5.1563097059516845E-2</v>
      </c>
      <c r="BC35" s="36">
        <f ca="1"/>
        <v>5.1299795637703767E-2</v>
      </c>
      <c r="BD35" s="36">
        <f ca="1"/>
        <v>5.094796369704515E-2</v>
      </c>
      <c r="BE35" s="36">
        <f ca="1"/>
        <v>4.9823154369238121E-2</v>
      </c>
      <c r="BF35" s="36">
        <f ca="1"/>
        <v>4.9336152946446464E-2</v>
      </c>
      <c r="BG35" s="36">
        <f ca="1"/>
        <v>4.8141886471115079E-2</v>
      </c>
      <c r="BH35" s="36">
        <f ca="1"/>
        <v>4.8515318859803744E-2</v>
      </c>
      <c r="BI35" s="36">
        <f ca="1"/>
        <v>4.9493652041799001E-2</v>
      </c>
      <c r="BJ35" s="36">
        <f ca="1"/>
        <v>4.9591907016215013E-2</v>
      </c>
      <c r="BK35" s="36">
        <f ca="1"/>
        <v>4.9491465607623443E-2</v>
      </c>
      <c r="BL35" s="36">
        <f ca="1"/>
        <v>4.9254774200234108E-2</v>
      </c>
      <c r="BM35" s="36">
        <f ca="1"/>
        <v>4.9079061400622258E-2</v>
      </c>
      <c r="BN35" s="36">
        <f ca="1"/>
        <v>4.8297782904201073E-2</v>
      </c>
      <c r="BO35" s="36">
        <f ca="1"/>
        <v>4.8283051322619702E-2</v>
      </c>
      <c r="BP35" s="36">
        <f ca="1"/>
        <v>4.8977462672479342E-2</v>
      </c>
      <c r="BQ35" s="36">
        <f ca="1"/>
        <v>4.8978514359585695E-2</v>
      </c>
      <c r="BR35" s="36">
        <f ca="1"/>
        <v>4.8976537726178604E-2</v>
      </c>
      <c r="BS35" s="36">
        <f ca="1"/>
        <v>4.9605270897810014E-2</v>
      </c>
      <c r="BT35" s="36">
        <f ca="1"/>
        <v>4.9371955384767921E-2</v>
      </c>
      <c r="BU35" s="36">
        <f ca="1"/>
        <v>4.8943505766304754E-2</v>
      </c>
      <c r="BV35" s="36">
        <f ca="1"/>
        <v>4.8146412745165776E-2</v>
      </c>
      <c r="BW35" s="36">
        <f ca="1"/>
        <v>4.7620495203208803E-2</v>
      </c>
      <c r="BX35" s="36">
        <f ca="1"/>
        <v>4.7849058328478244E-2</v>
      </c>
      <c r="BY35" s="36">
        <f ca="1"/>
        <v>4.758126304129557E-2</v>
      </c>
      <c r="BZ35" s="36">
        <f ca="1"/>
        <v>4.6587371941028181E-2</v>
      </c>
      <c r="CA35" s="36">
        <f ca="1"/>
        <v>4.6213765114888374E-2</v>
      </c>
      <c r="CB35" s="36">
        <f ca="1"/>
        <v>4.6727882058579258E-2</v>
      </c>
      <c r="CC35" s="36">
        <f ca="1"/>
        <v>4.7027225032334863E-2</v>
      </c>
      <c r="CD35" s="36">
        <f ca="1"/>
        <v>4.6921091505008061E-2</v>
      </c>
      <c r="CE35" s="36">
        <f ca="1"/>
        <v>4.6443010521835956E-2</v>
      </c>
      <c r="CF35" s="36">
        <f ca="1"/>
        <v>4.5820172377768732E-2</v>
      </c>
      <c r="CG35" s="36">
        <f ca="1"/>
        <v>4.5922247446336467E-2</v>
      </c>
      <c r="CH35" s="36">
        <f ca="1"/>
        <v>4.5959467327516865E-2</v>
      </c>
      <c r="CI35" s="36">
        <f ca="1"/>
        <v>4.5651398599256154E-2</v>
      </c>
      <c r="CJ35" s="36">
        <f ca="1"/>
        <v>4.5643471163763591E-2</v>
      </c>
      <c r="CK35" s="36">
        <f ca="1"/>
        <v>4.6037385691029824E-2</v>
      </c>
      <c r="CL35" s="36">
        <f ca="1"/>
        <v>4.6929651036213861E-2</v>
      </c>
      <c r="CM35" s="36">
        <f ca="1"/>
        <v>4.6952619155422079E-2</v>
      </c>
      <c r="CN35" s="36">
        <f ca="1"/>
        <v>4.692594133162141E-2</v>
      </c>
      <c r="CO35" s="36">
        <f ca="1"/>
        <v>4.737233370981752E-2</v>
      </c>
      <c r="CP35" s="36">
        <f ca="1"/>
        <v>4.8126215837335645E-2</v>
      </c>
      <c r="CQ35" s="36">
        <f ca="1"/>
        <v>4.7593456051054479E-2</v>
      </c>
      <c r="CR35" s="36">
        <f ca="1"/>
        <v>4.6740127716348702E-2</v>
      </c>
      <c r="CS35" s="36">
        <f ca="1"/>
        <v>4.6639100744400946E-2</v>
      </c>
      <c r="CT35" s="36">
        <f ca="1"/>
        <v>4.7297219602671192E-2</v>
      </c>
      <c r="CU35" s="36">
        <f ca="1"/>
        <v>4.6565845533120265E-2</v>
      </c>
      <c r="CV35" s="36">
        <f ca="1"/>
        <v>4.7236502808639717E-2</v>
      </c>
      <c r="CW35" s="36">
        <f ca="1"/>
        <v>4.7144324080634972E-2</v>
      </c>
      <c r="CX35" s="36">
        <f ca="1"/>
        <v>4.8209217875514021E-2</v>
      </c>
      <c r="CY35" s="36">
        <f ca="1"/>
        <v>4.8256223187434513E-2</v>
      </c>
      <c r="CZ35" s="36">
        <f ca="1"/>
        <v>4.867595904733113E-2</v>
      </c>
      <c r="DA35" s="36">
        <f ca="1"/>
        <v>4.9149681288219858E-2</v>
      </c>
      <c r="DB35" s="36">
        <f ca="1"/>
        <v>4.8726797598304457E-2</v>
      </c>
      <c r="DC35" s="36">
        <f ca="1"/>
        <v>4.8786061221645673E-2</v>
      </c>
      <c r="DD35" s="36">
        <f ca="1"/>
        <v>4.8085128457934827E-2</v>
      </c>
      <c r="DE35" s="36">
        <f ca="1"/>
        <v>4.8016122728074435E-2</v>
      </c>
      <c r="DF35" s="36">
        <f ca="1"/>
        <v>4.7620586129644482E-2</v>
      </c>
      <c r="DG35" s="36">
        <f ca="1"/>
        <v>4.8349829447967743E-2</v>
      </c>
      <c r="DH35" s="36">
        <f ca="1"/>
        <v>4.8490402406932878E-2</v>
      </c>
      <c r="DI35" s="36">
        <f ca="1"/>
        <v>4.9225255099763041E-2</v>
      </c>
      <c r="DJ35" s="36">
        <f ca="1"/>
        <v>4.9522979650104652E-2</v>
      </c>
      <c r="DK35" s="36">
        <f ca="1"/>
        <v>4.9878380091063504E-2</v>
      </c>
      <c r="DL35" s="36">
        <f ca="1"/>
        <v>4.8917479095096514E-2</v>
      </c>
      <c r="DM35" s="36">
        <f ca="1"/>
        <v>5.0055523471071423E-2</v>
      </c>
      <c r="DN35" s="36">
        <f ca="1"/>
        <v>4.9925460806849474E-2</v>
      </c>
      <c r="DO35" s="36">
        <f ca="1"/>
        <v>4.884426039702805E-2</v>
      </c>
      <c r="DP35" s="36">
        <f ca="1"/>
        <v>4.9217979097019228E-2</v>
      </c>
      <c r="DQ35" s="36">
        <f ca="1"/>
        <v>4.8625973393661391E-2</v>
      </c>
    </row>
    <row r="36" spans="1:121" s="36" customFormat="1" x14ac:dyDescent="0.3"/>
    <row r="37" spans="1:121" s="36" customFormat="1" x14ac:dyDescent="0.3"/>
    <row r="38" spans="1:121" s="36" customFormat="1" x14ac:dyDescent="0.3"/>
    <row r="39" spans="1:121" s="36" customFormat="1" x14ac:dyDescent="0.3"/>
    <row r="40" spans="1:121" s="36" customFormat="1" x14ac:dyDescent="0.3"/>
    <row r="41" spans="1:121" s="36" customFormat="1" x14ac:dyDescent="0.3">
      <c r="A41" s="36" cm="1">
        <f t="array" aca="1" ref="A41:DQ45" ca="1">EXP(_xlfn.ANCHORARRAY(A31))-1</f>
        <v>2.0000000000000018E-2</v>
      </c>
      <c r="B41" s="36">
        <f ca="1"/>
        <v>2.1277717249225336E-2</v>
      </c>
      <c r="C41" s="36">
        <f ca="1"/>
        <v>2.2674668171384083E-2</v>
      </c>
      <c r="D41" s="36">
        <f ca="1"/>
        <v>2.3508949493334041E-2</v>
      </c>
      <c r="E41" s="36">
        <f ca="1"/>
        <v>2.4803891310321013E-2</v>
      </c>
      <c r="F41" s="36">
        <f ca="1"/>
        <v>2.6381081857260069E-2</v>
      </c>
      <c r="G41" s="36">
        <f ca="1"/>
        <v>2.7485872326958205E-2</v>
      </c>
      <c r="H41" s="36">
        <f ca="1"/>
        <v>2.8492062484498426E-2</v>
      </c>
      <c r="I41" s="36">
        <f ca="1"/>
        <v>2.930217944054081E-2</v>
      </c>
      <c r="J41" s="36">
        <f ca="1"/>
        <v>3.0757930882574946E-2</v>
      </c>
      <c r="K41" s="36">
        <f ca="1"/>
        <v>3.1543392944131332E-2</v>
      </c>
      <c r="L41" s="36">
        <f ca="1"/>
        <v>3.1591441267160958E-2</v>
      </c>
      <c r="M41" s="36">
        <f ca="1"/>
        <v>3.2228910979023917E-2</v>
      </c>
      <c r="N41" s="36">
        <f ca="1"/>
        <v>3.2821428528277075E-2</v>
      </c>
      <c r="O41" s="36">
        <f ca="1"/>
        <v>3.3448654883614148E-2</v>
      </c>
      <c r="P41" s="36">
        <f ca="1"/>
        <v>3.3687269075873605E-2</v>
      </c>
      <c r="Q41" s="36">
        <f ca="1"/>
        <v>3.3850351176700988E-2</v>
      </c>
      <c r="R41" s="36">
        <f ca="1"/>
        <v>3.4622728251748169E-2</v>
      </c>
      <c r="S41" s="36">
        <f ca="1"/>
        <v>3.5510982946993064E-2</v>
      </c>
      <c r="T41" s="36">
        <f ca="1"/>
        <v>3.6017452846685449E-2</v>
      </c>
      <c r="U41" s="36">
        <f ca="1"/>
        <v>3.6692698378614219E-2</v>
      </c>
      <c r="V41" s="36">
        <f ca="1"/>
        <v>3.6561804680227405E-2</v>
      </c>
      <c r="W41" s="36">
        <f ca="1"/>
        <v>3.7224899321596894E-2</v>
      </c>
      <c r="X41" s="36">
        <f ca="1"/>
        <v>3.7665664227096274E-2</v>
      </c>
      <c r="Y41" s="36">
        <f ca="1"/>
        <v>3.7035145262454661E-2</v>
      </c>
      <c r="Z41" s="36">
        <f ca="1"/>
        <v>3.7122018815403779E-2</v>
      </c>
      <c r="AA41" s="36">
        <f ca="1"/>
        <v>3.7603321408182566E-2</v>
      </c>
      <c r="AB41" s="36">
        <f ca="1"/>
        <v>3.9294073789316819E-2</v>
      </c>
      <c r="AC41" s="36">
        <f ca="1"/>
        <v>3.9032527133920247E-2</v>
      </c>
      <c r="AD41" s="36">
        <f ca="1"/>
        <v>3.9490292162710938E-2</v>
      </c>
      <c r="AE41" s="36">
        <f ca="1"/>
        <v>4.045902648176769E-2</v>
      </c>
      <c r="AF41" s="36">
        <f ca="1"/>
        <v>4.0534013280101311E-2</v>
      </c>
      <c r="AG41" s="36">
        <f ca="1"/>
        <v>4.0558833928483695E-2</v>
      </c>
      <c r="AH41" s="36">
        <f ca="1"/>
        <v>4.0687219960456655E-2</v>
      </c>
      <c r="AI41" s="36">
        <f ca="1"/>
        <v>4.1599952081544878E-2</v>
      </c>
      <c r="AJ41" s="36">
        <f ca="1"/>
        <v>4.1701565579139066E-2</v>
      </c>
      <c r="AK41" s="36">
        <f ca="1"/>
        <v>4.2584556063986145E-2</v>
      </c>
      <c r="AL41" s="36">
        <f ca="1"/>
        <v>4.2916027814700941E-2</v>
      </c>
      <c r="AM41" s="36">
        <f ca="1"/>
        <v>4.2652914392599328E-2</v>
      </c>
      <c r="AN41" s="36">
        <f ca="1"/>
        <v>4.3381421212388194E-2</v>
      </c>
      <c r="AO41" s="36">
        <f ca="1"/>
        <v>4.4474445623392089E-2</v>
      </c>
      <c r="AP41" s="36">
        <f ca="1"/>
        <v>4.4757286783819517E-2</v>
      </c>
      <c r="AQ41" s="36">
        <f ca="1"/>
        <v>4.5832727884177249E-2</v>
      </c>
      <c r="AR41" s="36">
        <f ca="1"/>
        <v>4.5407690806893886E-2</v>
      </c>
      <c r="AS41" s="36">
        <f ca="1"/>
        <v>4.6149423614917362E-2</v>
      </c>
      <c r="AT41" s="36">
        <f ca="1"/>
        <v>4.6594141216739215E-2</v>
      </c>
      <c r="AU41" s="36">
        <f ca="1"/>
        <v>4.605263684382277E-2</v>
      </c>
      <c r="AV41" s="36">
        <f ca="1"/>
        <v>4.7132045070488404E-2</v>
      </c>
      <c r="AW41" s="36">
        <f ca="1"/>
        <v>4.747442551586456E-2</v>
      </c>
      <c r="AX41" s="36">
        <f ca="1"/>
        <v>4.6212817742696366E-2</v>
      </c>
      <c r="AY41" s="36">
        <f ca="1"/>
        <v>4.6695698857008416E-2</v>
      </c>
      <c r="AZ41" s="36">
        <f ca="1"/>
        <v>4.5669851200430989E-2</v>
      </c>
      <c r="BA41" s="36">
        <f ca="1"/>
        <v>4.5623867755050673E-2</v>
      </c>
      <c r="BB41" s="36">
        <f ca="1"/>
        <v>4.6850119052468608E-2</v>
      </c>
      <c r="BC41" s="36">
        <f ca="1"/>
        <v>4.7077583343099416E-2</v>
      </c>
      <c r="BD41" s="36">
        <f ca="1"/>
        <v>4.7418559176119812E-2</v>
      </c>
      <c r="BE41" s="36">
        <f ca="1"/>
        <v>4.7017330483801079E-2</v>
      </c>
      <c r="BF41" s="36">
        <f ca="1"/>
        <v>4.6783852548468507E-2</v>
      </c>
      <c r="BG41" s="36">
        <f ca="1"/>
        <v>4.630802757861896E-2</v>
      </c>
      <c r="BH41" s="36">
        <f ca="1"/>
        <v>4.6893590792089102E-2</v>
      </c>
      <c r="BI41" s="36">
        <f ca="1"/>
        <v>4.529238835082694E-2</v>
      </c>
      <c r="BJ41" s="36">
        <f ca="1"/>
        <v>4.5011972574272141E-2</v>
      </c>
      <c r="BK41" s="36">
        <f ca="1"/>
        <v>4.4357234406031454E-2</v>
      </c>
      <c r="BL41" s="36">
        <f ca="1"/>
        <v>4.4419849590555449E-2</v>
      </c>
      <c r="BM41" s="36">
        <f ca="1"/>
        <v>4.5810934530486902E-2</v>
      </c>
      <c r="BN41" s="36">
        <f ca="1"/>
        <v>4.6704412245088367E-2</v>
      </c>
      <c r="BO41" s="36">
        <f ca="1"/>
        <v>4.7957186305496169E-2</v>
      </c>
      <c r="BP41" s="36">
        <f ca="1"/>
        <v>4.7358668553540095E-2</v>
      </c>
      <c r="BQ41" s="36">
        <f ca="1"/>
        <v>4.775789320076762E-2</v>
      </c>
      <c r="BR41" s="36">
        <f ca="1"/>
        <v>4.7775569286007569E-2</v>
      </c>
      <c r="BS41" s="36">
        <f ca="1"/>
        <v>4.9162608970305E-2</v>
      </c>
      <c r="BT41" s="36">
        <f ca="1"/>
        <v>4.8184115774430269E-2</v>
      </c>
      <c r="BU41" s="36">
        <f ca="1"/>
        <v>4.8674429912446859E-2</v>
      </c>
      <c r="BV41" s="36">
        <f ca="1"/>
        <v>4.8242847301302794E-2</v>
      </c>
      <c r="BW41" s="36">
        <f ca="1"/>
        <v>4.7100843023099248E-2</v>
      </c>
      <c r="BX41" s="36">
        <f ca="1"/>
        <v>4.7878673944350192E-2</v>
      </c>
      <c r="BY41" s="36">
        <f ca="1"/>
        <v>4.8452590451351529E-2</v>
      </c>
      <c r="BZ41" s="36">
        <f ca="1"/>
        <v>4.7557264151487644E-2</v>
      </c>
      <c r="CA41" s="36">
        <f ca="1"/>
        <v>4.8542472155028049E-2</v>
      </c>
      <c r="CB41" s="36">
        <f ca="1"/>
        <v>4.857820063869589E-2</v>
      </c>
      <c r="CC41" s="36">
        <f ca="1"/>
        <v>4.8699024540792335E-2</v>
      </c>
      <c r="CD41" s="36">
        <f ca="1"/>
        <v>4.8733210466106902E-2</v>
      </c>
      <c r="CE41" s="36">
        <f ca="1"/>
        <v>4.8827570357326211E-2</v>
      </c>
      <c r="CF41" s="36">
        <f ca="1"/>
        <v>4.8586111960501777E-2</v>
      </c>
      <c r="CG41" s="36">
        <f ca="1"/>
        <v>4.8092529090393521E-2</v>
      </c>
      <c r="CH41" s="36">
        <f ca="1"/>
        <v>4.8219254369848086E-2</v>
      </c>
      <c r="CI41" s="36">
        <f ca="1"/>
        <v>4.7143907754472192E-2</v>
      </c>
      <c r="CJ41" s="36">
        <f ca="1"/>
        <v>4.7447986889181282E-2</v>
      </c>
      <c r="CK41" s="36">
        <f ca="1"/>
        <v>4.7932693090787737E-2</v>
      </c>
      <c r="CL41" s="36">
        <f ca="1"/>
        <v>4.7851702309204658E-2</v>
      </c>
      <c r="CM41" s="36">
        <f ca="1"/>
        <v>4.9086724164761897E-2</v>
      </c>
      <c r="CN41" s="36">
        <f ca="1"/>
        <v>4.8672840067918388E-2</v>
      </c>
      <c r="CO41" s="36">
        <f ca="1"/>
        <v>4.847800320361384E-2</v>
      </c>
      <c r="CP41" s="36">
        <f ca="1"/>
        <v>4.7522732816386526E-2</v>
      </c>
      <c r="CQ41" s="36">
        <f ca="1"/>
        <v>4.7353726533543306E-2</v>
      </c>
      <c r="CR41" s="36">
        <f ca="1"/>
        <v>4.7867321698824128E-2</v>
      </c>
      <c r="CS41" s="36">
        <f ca="1"/>
        <v>4.6364912758595667E-2</v>
      </c>
      <c r="CT41" s="36">
        <f ca="1"/>
        <v>4.5189199719869677E-2</v>
      </c>
      <c r="CU41" s="36">
        <f ca="1"/>
        <v>4.4642010042891922E-2</v>
      </c>
      <c r="CV41" s="36">
        <f ca="1"/>
        <v>4.3848835685409204E-2</v>
      </c>
      <c r="CW41" s="36">
        <f ca="1"/>
        <v>4.482950835875199E-2</v>
      </c>
      <c r="CX41" s="36">
        <f ca="1"/>
        <v>4.5831528704197488E-2</v>
      </c>
      <c r="CY41" s="36">
        <f ca="1"/>
        <v>4.704789306989654E-2</v>
      </c>
      <c r="CZ41" s="36">
        <f ca="1"/>
        <v>4.8377996560526437E-2</v>
      </c>
      <c r="DA41" s="36">
        <f ca="1"/>
        <v>4.8076489314532012E-2</v>
      </c>
      <c r="DB41" s="36">
        <f ca="1"/>
        <v>4.7613788166822157E-2</v>
      </c>
      <c r="DC41" s="36">
        <f ca="1"/>
        <v>4.8623322277312031E-2</v>
      </c>
      <c r="DD41" s="36">
        <f ca="1"/>
        <v>5.0340277375288567E-2</v>
      </c>
      <c r="DE41" s="36">
        <f ca="1"/>
        <v>4.9132021362266132E-2</v>
      </c>
      <c r="DF41" s="36">
        <f ca="1"/>
        <v>4.9013883320614404E-2</v>
      </c>
      <c r="DG41" s="36">
        <f ca="1"/>
        <v>4.9168012227961189E-2</v>
      </c>
      <c r="DH41" s="36">
        <f ca="1"/>
        <v>4.8681398481826177E-2</v>
      </c>
      <c r="DI41" s="36">
        <f ca="1"/>
        <v>4.9373188121990097E-2</v>
      </c>
      <c r="DJ41" s="36">
        <f ca="1"/>
        <v>5.0157150929611261E-2</v>
      </c>
      <c r="DK41" s="36">
        <f ca="1"/>
        <v>5.1950312130548904E-2</v>
      </c>
      <c r="DL41" s="36">
        <f ca="1"/>
        <v>5.2116219780580675E-2</v>
      </c>
      <c r="DM41" s="36">
        <f ca="1"/>
        <v>5.2536717650919051E-2</v>
      </c>
      <c r="DN41" s="36">
        <f ca="1"/>
        <v>5.2733551086355579E-2</v>
      </c>
      <c r="DO41" s="36">
        <f ca="1"/>
        <v>5.2612903040811787E-2</v>
      </c>
      <c r="DP41" s="36">
        <f ca="1"/>
        <v>5.2610030843769362E-2</v>
      </c>
      <c r="DQ41" s="36">
        <f ca="1"/>
        <v>5.269066377018583E-2</v>
      </c>
    </row>
    <row r="42" spans="1:121" s="36" customFormat="1" x14ac:dyDescent="0.3">
      <c r="A42" s="36">
        <f ca="1"/>
        <v>2.0000000000000018E-2</v>
      </c>
      <c r="B42" s="36">
        <f ca="1"/>
        <v>2.214648041527334E-2</v>
      </c>
      <c r="C42" s="36">
        <f ca="1"/>
        <v>2.3385512315489798E-2</v>
      </c>
      <c r="D42" s="36">
        <f ca="1"/>
        <v>2.4799895252805904E-2</v>
      </c>
      <c r="E42" s="36">
        <f ca="1"/>
        <v>2.5721804623201505E-2</v>
      </c>
      <c r="F42" s="36">
        <f ca="1"/>
        <v>2.6006827138193911E-2</v>
      </c>
      <c r="G42" s="36">
        <f ca="1"/>
        <v>2.7157718427532895E-2</v>
      </c>
      <c r="H42" s="36">
        <f ca="1"/>
        <v>2.8485425771023865E-2</v>
      </c>
      <c r="I42" s="36">
        <f ca="1"/>
        <v>3.008042332369909E-2</v>
      </c>
      <c r="J42" s="36">
        <f ca="1"/>
        <v>3.0592386013492012E-2</v>
      </c>
      <c r="K42" s="36">
        <f ca="1"/>
        <v>3.1494535640620658E-2</v>
      </c>
      <c r="L42" s="36">
        <f ca="1"/>
        <v>3.2499664354630253E-2</v>
      </c>
      <c r="M42" s="36">
        <f ca="1"/>
        <v>3.3631930971603774E-2</v>
      </c>
      <c r="N42" s="36">
        <f ca="1"/>
        <v>3.4038874753017812E-2</v>
      </c>
      <c r="O42" s="36">
        <f ca="1"/>
        <v>3.5502347353072672E-2</v>
      </c>
      <c r="P42" s="36">
        <f ca="1"/>
        <v>3.6626803282342912E-2</v>
      </c>
      <c r="Q42" s="36">
        <f ca="1"/>
        <v>3.7430184743931338E-2</v>
      </c>
      <c r="R42" s="36">
        <f ca="1"/>
        <v>3.8686253714436347E-2</v>
      </c>
      <c r="S42" s="36">
        <f ca="1"/>
        <v>3.8583906586426853E-2</v>
      </c>
      <c r="T42" s="36">
        <f ca="1"/>
        <v>3.9078084885959097E-2</v>
      </c>
      <c r="U42" s="36">
        <f ca="1"/>
        <v>3.9235798853769044E-2</v>
      </c>
      <c r="V42" s="36">
        <f ca="1"/>
        <v>4.004942820121693E-2</v>
      </c>
      <c r="W42" s="36">
        <f ca="1"/>
        <v>4.0834521316589933E-2</v>
      </c>
      <c r="X42" s="36">
        <f ca="1"/>
        <v>4.0502869194193547E-2</v>
      </c>
      <c r="Y42" s="36">
        <f ca="1"/>
        <v>4.0914528375490811E-2</v>
      </c>
      <c r="Z42" s="36">
        <f ca="1"/>
        <v>4.2582565192434529E-2</v>
      </c>
      <c r="AA42" s="36">
        <f ca="1"/>
        <v>4.204090236872271E-2</v>
      </c>
      <c r="AB42" s="36">
        <f ca="1"/>
        <v>4.2315249740531025E-2</v>
      </c>
      <c r="AC42" s="36">
        <f ca="1"/>
        <v>4.1921624089716891E-2</v>
      </c>
      <c r="AD42" s="36">
        <f ca="1"/>
        <v>4.2212502316153699E-2</v>
      </c>
      <c r="AE42" s="36">
        <f ca="1"/>
        <v>4.2777853339069694E-2</v>
      </c>
      <c r="AF42" s="36">
        <f ca="1"/>
        <v>4.2337859607469941E-2</v>
      </c>
      <c r="AG42" s="36">
        <f ca="1"/>
        <v>4.1872859607202217E-2</v>
      </c>
      <c r="AH42" s="36">
        <f ca="1"/>
        <v>4.1404055625116731E-2</v>
      </c>
      <c r="AI42" s="36">
        <f ca="1"/>
        <v>4.2239491971653331E-2</v>
      </c>
      <c r="AJ42" s="36">
        <f ca="1"/>
        <v>4.2641172636893598E-2</v>
      </c>
      <c r="AK42" s="36">
        <f ca="1"/>
        <v>4.3003796591717602E-2</v>
      </c>
      <c r="AL42" s="36">
        <f ca="1"/>
        <v>4.357320656137964E-2</v>
      </c>
      <c r="AM42" s="36">
        <f ca="1"/>
        <v>4.3285367938204145E-2</v>
      </c>
      <c r="AN42" s="36">
        <f ca="1"/>
        <v>4.3902411779330297E-2</v>
      </c>
      <c r="AO42" s="36">
        <f ca="1"/>
        <v>4.3757931297165209E-2</v>
      </c>
      <c r="AP42" s="36">
        <f ca="1"/>
        <v>4.4182450790966499E-2</v>
      </c>
      <c r="AQ42" s="36">
        <f ca="1"/>
        <v>4.3830810193445258E-2</v>
      </c>
      <c r="AR42" s="36">
        <f ca="1"/>
        <v>4.4012698619566359E-2</v>
      </c>
      <c r="AS42" s="36">
        <f ca="1"/>
        <v>4.5230970624243971E-2</v>
      </c>
      <c r="AT42" s="36">
        <f ca="1"/>
        <v>4.5317249292017081E-2</v>
      </c>
      <c r="AU42" s="36">
        <f ca="1"/>
        <v>4.4656696349222091E-2</v>
      </c>
      <c r="AV42" s="36">
        <f ca="1"/>
        <v>4.3975403527593215E-2</v>
      </c>
      <c r="AW42" s="36">
        <f ca="1"/>
        <v>4.4175687580013223E-2</v>
      </c>
      <c r="AX42" s="36">
        <f ca="1"/>
        <v>4.4354299927270802E-2</v>
      </c>
      <c r="AY42" s="36">
        <f ca="1"/>
        <v>4.4226698063037695E-2</v>
      </c>
      <c r="AZ42" s="36">
        <f ca="1"/>
        <v>4.3893243293007256E-2</v>
      </c>
      <c r="BA42" s="36">
        <f ca="1"/>
        <v>4.4701949456608547E-2</v>
      </c>
      <c r="BB42" s="36">
        <f ca="1"/>
        <v>4.5668300785973948E-2</v>
      </c>
      <c r="BC42" s="36">
        <f ca="1"/>
        <v>4.5783843820210279E-2</v>
      </c>
      <c r="BD42" s="36">
        <f ca="1"/>
        <v>4.45555006091225E-2</v>
      </c>
      <c r="BE42" s="36">
        <f ca="1"/>
        <v>4.4651997039971025E-2</v>
      </c>
      <c r="BF42" s="36">
        <f ca="1"/>
        <v>4.4125463454487646E-2</v>
      </c>
      <c r="BG42" s="36">
        <f ca="1"/>
        <v>4.4118988787474445E-2</v>
      </c>
      <c r="BH42" s="36">
        <f ca="1"/>
        <v>4.4596083849498314E-2</v>
      </c>
      <c r="BI42" s="36">
        <f ca="1"/>
        <v>4.5620765550750342E-2</v>
      </c>
      <c r="BJ42" s="36">
        <f ca="1"/>
        <v>4.5005369483903657E-2</v>
      </c>
      <c r="BK42" s="36">
        <f ca="1"/>
        <v>4.5147645029326444E-2</v>
      </c>
      <c r="BL42" s="36">
        <f ca="1"/>
        <v>4.6136652069447281E-2</v>
      </c>
      <c r="BM42" s="36">
        <f ca="1"/>
        <v>4.6701927152581701E-2</v>
      </c>
      <c r="BN42" s="36">
        <f ca="1"/>
        <v>4.8046908644107988E-2</v>
      </c>
      <c r="BO42" s="36">
        <f ca="1"/>
        <v>4.865877878286673E-2</v>
      </c>
      <c r="BP42" s="36">
        <f ca="1"/>
        <v>4.9353275556025755E-2</v>
      </c>
      <c r="BQ42" s="36">
        <f ca="1"/>
        <v>4.837891747263523E-2</v>
      </c>
      <c r="BR42" s="36">
        <f ca="1"/>
        <v>4.8603511999296023E-2</v>
      </c>
      <c r="BS42" s="36">
        <f ca="1"/>
        <v>4.7957680455530394E-2</v>
      </c>
      <c r="BT42" s="36">
        <f ca="1"/>
        <v>4.7902400252634481E-2</v>
      </c>
      <c r="BU42" s="36">
        <f ca="1"/>
        <v>4.8411150229031197E-2</v>
      </c>
      <c r="BV42" s="36">
        <f ca="1"/>
        <v>4.8985650514109969E-2</v>
      </c>
      <c r="BW42" s="36">
        <f ca="1"/>
        <v>4.990926218015157E-2</v>
      </c>
      <c r="BX42" s="36">
        <f ca="1"/>
        <v>5.0091287938833107E-2</v>
      </c>
      <c r="BY42" s="36">
        <f ca="1"/>
        <v>5.0560192084078803E-2</v>
      </c>
      <c r="BZ42" s="36">
        <f ca="1"/>
        <v>4.9216423218037653E-2</v>
      </c>
      <c r="CA42" s="36">
        <f ca="1"/>
        <v>4.787302973897134E-2</v>
      </c>
      <c r="CB42" s="36">
        <f ca="1"/>
        <v>4.8591842225122805E-2</v>
      </c>
      <c r="CC42" s="36">
        <f ca="1"/>
        <v>4.8946120813841976E-2</v>
      </c>
      <c r="CD42" s="36">
        <f ca="1"/>
        <v>4.9028558558004809E-2</v>
      </c>
      <c r="CE42" s="36">
        <f ca="1"/>
        <v>4.8671603790001239E-2</v>
      </c>
      <c r="CF42" s="36">
        <f ca="1"/>
        <v>4.8472054089576E-2</v>
      </c>
      <c r="CG42" s="36">
        <f ca="1"/>
        <v>4.8851894122730277E-2</v>
      </c>
      <c r="CH42" s="36">
        <f ca="1"/>
        <v>4.92531352626977E-2</v>
      </c>
      <c r="CI42" s="36">
        <f ca="1"/>
        <v>4.917500070735259E-2</v>
      </c>
      <c r="CJ42" s="36">
        <f ca="1"/>
        <v>4.981524430366191E-2</v>
      </c>
      <c r="CK42" s="36">
        <f ca="1"/>
        <v>4.9885955476083765E-2</v>
      </c>
      <c r="CL42" s="36">
        <f ca="1"/>
        <v>4.9658886154091419E-2</v>
      </c>
      <c r="CM42" s="36">
        <f ca="1"/>
        <v>4.8956035759369687E-2</v>
      </c>
      <c r="CN42" s="36">
        <f ca="1"/>
        <v>4.7691502314801903E-2</v>
      </c>
      <c r="CO42" s="36">
        <f ca="1"/>
        <v>4.744587181027593E-2</v>
      </c>
      <c r="CP42" s="36">
        <f ca="1"/>
        <v>4.833911218011866E-2</v>
      </c>
      <c r="CQ42" s="36">
        <f ca="1"/>
        <v>4.9772795293195449E-2</v>
      </c>
      <c r="CR42" s="36">
        <f ca="1"/>
        <v>5.0556456106168879E-2</v>
      </c>
      <c r="CS42" s="36">
        <f ca="1"/>
        <v>5.0527891752051968E-2</v>
      </c>
      <c r="CT42" s="36">
        <f ca="1"/>
        <v>5.0885736568674567E-2</v>
      </c>
      <c r="CU42" s="36">
        <f ca="1"/>
        <v>5.0661832245943561E-2</v>
      </c>
      <c r="CV42" s="36">
        <f ca="1"/>
        <v>5.1347720929070029E-2</v>
      </c>
      <c r="CW42" s="36">
        <f ca="1"/>
        <v>5.1634037354375772E-2</v>
      </c>
      <c r="CX42" s="36">
        <f ca="1"/>
        <v>5.1236820982215825E-2</v>
      </c>
      <c r="CY42" s="36">
        <f ca="1"/>
        <v>5.0552309807028628E-2</v>
      </c>
      <c r="CZ42" s="36">
        <f ca="1"/>
        <v>5.0993982616401201E-2</v>
      </c>
      <c r="DA42" s="36">
        <f ca="1"/>
        <v>5.2288648185338404E-2</v>
      </c>
      <c r="DB42" s="36">
        <f ca="1"/>
        <v>5.1648055266360071E-2</v>
      </c>
      <c r="DC42" s="36">
        <f ca="1"/>
        <v>5.1812452486108329E-2</v>
      </c>
      <c r="DD42" s="36">
        <f ca="1"/>
        <v>5.180639060331016E-2</v>
      </c>
      <c r="DE42" s="36">
        <f ca="1"/>
        <v>5.1149194796966446E-2</v>
      </c>
      <c r="DF42" s="36">
        <f ca="1"/>
        <v>5.0660663346943746E-2</v>
      </c>
      <c r="DG42" s="36">
        <f ca="1"/>
        <v>5.0767802872564216E-2</v>
      </c>
      <c r="DH42" s="36">
        <f ca="1"/>
        <v>5.0774113112604269E-2</v>
      </c>
      <c r="DI42" s="36">
        <f ca="1"/>
        <v>4.9504395831539316E-2</v>
      </c>
      <c r="DJ42" s="36">
        <f ca="1"/>
        <v>4.8734852490663894E-2</v>
      </c>
      <c r="DK42" s="36">
        <f ca="1"/>
        <v>4.8993267019412645E-2</v>
      </c>
      <c r="DL42" s="36">
        <f ca="1"/>
        <v>4.9365636959466164E-2</v>
      </c>
      <c r="DM42" s="36">
        <f ca="1"/>
        <v>4.8987312302106956E-2</v>
      </c>
      <c r="DN42" s="36">
        <f ca="1"/>
        <v>4.8797148859665684E-2</v>
      </c>
      <c r="DO42" s="36">
        <f ca="1"/>
        <v>4.9383784835348665E-2</v>
      </c>
      <c r="DP42" s="36">
        <f ca="1"/>
        <v>4.9170131010850104E-2</v>
      </c>
      <c r="DQ42" s="36">
        <f ca="1"/>
        <v>4.8351985365404637E-2</v>
      </c>
    </row>
    <row r="43" spans="1:121" s="36" customFormat="1" x14ac:dyDescent="0.3">
      <c r="A43" s="36">
        <f ca="1"/>
        <v>2.0000000000000018E-2</v>
      </c>
      <c r="B43" s="36">
        <f ca="1"/>
        <v>2.1274856926846164E-2</v>
      </c>
      <c r="C43" s="36">
        <f ca="1"/>
        <v>2.2051549572726925E-2</v>
      </c>
      <c r="D43" s="36">
        <f ca="1"/>
        <v>2.326674135667206E-2</v>
      </c>
      <c r="E43" s="36">
        <f ca="1"/>
        <v>2.4581236148275565E-2</v>
      </c>
      <c r="F43" s="36">
        <f ca="1"/>
        <v>2.5688241665152489E-2</v>
      </c>
      <c r="G43" s="36">
        <f ca="1"/>
        <v>2.7426500483589189E-2</v>
      </c>
      <c r="H43" s="36">
        <f ca="1"/>
        <v>2.8301799507086001E-2</v>
      </c>
      <c r="I43" s="36">
        <f ca="1"/>
        <v>2.8499003735498629E-2</v>
      </c>
      <c r="J43" s="36">
        <f ca="1"/>
        <v>2.9354906097303068E-2</v>
      </c>
      <c r="K43" s="36">
        <f ca="1"/>
        <v>3.0819672449788893E-2</v>
      </c>
      <c r="L43" s="36">
        <f ca="1"/>
        <v>3.1141066968648712E-2</v>
      </c>
      <c r="M43" s="36">
        <f ca="1"/>
        <v>3.2102866405736341E-2</v>
      </c>
      <c r="N43" s="36">
        <f ca="1"/>
        <v>3.3290767509482011E-2</v>
      </c>
      <c r="O43" s="36">
        <f ca="1"/>
        <v>3.4986418135433128E-2</v>
      </c>
      <c r="P43" s="36">
        <f ca="1"/>
        <v>3.6081701089891727E-2</v>
      </c>
      <c r="Q43" s="36">
        <f ca="1"/>
        <v>3.6076554071146738E-2</v>
      </c>
      <c r="R43" s="36">
        <f ca="1"/>
        <v>3.7213990672532171E-2</v>
      </c>
      <c r="S43" s="36">
        <f ca="1"/>
        <v>3.7774738323625545E-2</v>
      </c>
      <c r="T43" s="36">
        <f ca="1"/>
        <v>3.8960676160540997E-2</v>
      </c>
      <c r="U43" s="36">
        <f ca="1"/>
        <v>3.9662620059688569E-2</v>
      </c>
      <c r="V43" s="36">
        <f ca="1"/>
        <v>4.010672087854994E-2</v>
      </c>
      <c r="W43" s="36">
        <f ca="1"/>
        <v>4.1060422954583009E-2</v>
      </c>
      <c r="X43" s="36">
        <f ca="1"/>
        <v>4.3085564855968261E-2</v>
      </c>
      <c r="Y43" s="36">
        <f ca="1"/>
        <v>4.4119427568541036E-2</v>
      </c>
      <c r="Z43" s="36">
        <f ca="1"/>
        <v>4.5632236641889312E-2</v>
      </c>
      <c r="AA43" s="36">
        <f ca="1"/>
        <v>4.4967670961908901E-2</v>
      </c>
      <c r="AB43" s="36">
        <f ca="1"/>
        <v>4.5084787660198522E-2</v>
      </c>
      <c r="AC43" s="36">
        <f ca="1"/>
        <v>4.6569215323802871E-2</v>
      </c>
      <c r="AD43" s="36">
        <f ca="1"/>
        <v>4.6769588762216152E-2</v>
      </c>
      <c r="AE43" s="36">
        <f ca="1"/>
        <v>4.8165793876999263E-2</v>
      </c>
      <c r="AF43" s="36">
        <f ca="1"/>
        <v>4.8484940788716901E-2</v>
      </c>
      <c r="AG43" s="36">
        <f ca="1"/>
        <v>4.7174703783311456E-2</v>
      </c>
      <c r="AH43" s="36">
        <f ca="1"/>
        <v>4.751745319768097E-2</v>
      </c>
      <c r="AI43" s="36">
        <f ca="1"/>
        <v>4.682693292449569E-2</v>
      </c>
      <c r="AJ43" s="36">
        <f ca="1"/>
        <v>4.6754247833735718E-2</v>
      </c>
      <c r="AK43" s="36">
        <f ca="1"/>
        <v>4.636857614329748E-2</v>
      </c>
      <c r="AL43" s="36">
        <f ca="1"/>
        <v>4.6610784725793719E-2</v>
      </c>
      <c r="AM43" s="36">
        <f ca="1"/>
        <v>4.6897055986260483E-2</v>
      </c>
      <c r="AN43" s="36">
        <f ca="1"/>
        <v>4.8386180013113345E-2</v>
      </c>
      <c r="AO43" s="36">
        <f ca="1"/>
        <v>4.8226161941704815E-2</v>
      </c>
      <c r="AP43" s="36">
        <f ca="1"/>
        <v>4.7541676544450073E-2</v>
      </c>
      <c r="AQ43" s="36">
        <f ca="1"/>
        <v>4.7690947396295424E-2</v>
      </c>
      <c r="AR43" s="36">
        <f ca="1"/>
        <v>4.7090899080937776E-2</v>
      </c>
      <c r="AS43" s="36">
        <f ca="1"/>
        <v>4.746344520335577E-2</v>
      </c>
      <c r="AT43" s="36">
        <f ca="1"/>
        <v>4.7865836567978715E-2</v>
      </c>
      <c r="AU43" s="36">
        <f ca="1"/>
        <v>4.778482497783032E-2</v>
      </c>
      <c r="AV43" s="36">
        <f ca="1"/>
        <v>4.7892533404059856E-2</v>
      </c>
      <c r="AW43" s="36">
        <f ca="1"/>
        <v>4.7240031423646522E-2</v>
      </c>
      <c r="AX43" s="36">
        <f ca="1"/>
        <v>4.7432946356475103E-2</v>
      </c>
      <c r="AY43" s="36">
        <f ca="1"/>
        <v>4.6667074752709148E-2</v>
      </c>
      <c r="AZ43" s="36">
        <f ca="1"/>
        <v>4.7318287720543362E-2</v>
      </c>
      <c r="BA43" s="36">
        <f ca="1"/>
        <v>4.7401430363042119E-2</v>
      </c>
      <c r="BB43" s="36">
        <f ca="1"/>
        <v>4.9030797618816235E-2</v>
      </c>
      <c r="BC43" s="36">
        <f ca="1"/>
        <v>4.8912386743435121E-2</v>
      </c>
      <c r="BD43" s="36">
        <f ca="1"/>
        <v>4.9164325475967496E-2</v>
      </c>
      <c r="BE43" s="36">
        <f ca="1"/>
        <v>4.8985241023882464E-2</v>
      </c>
      <c r="BF43" s="36">
        <f ca="1"/>
        <v>4.8776520594487227E-2</v>
      </c>
      <c r="BG43" s="36">
        <f ca="1"/>
        <v>4.945629280290853E-2</v>
      </c>
      <c r="BH43" s="36">
        <f ca="1"/>
        <v>4.9696526160191601E-2</v>
      </c>
      <c r="BI43" s="36">
        <f ca="1"/>
        <v>5.0746363453860965E-2</v>
      </c>
      <c r="BJ43" s="36">
        <f ca="1"/>
        <v>5.0823396246042485E-2</v>
      </c>
      <c r="BK43" s="36">
        <f ca="1"/>
        <v>5.0364721345038665E-2</v>
      </c>
      <c r="BL43" s="36">
        <f ca="1"/>
        <v>5.1060032167512981E-2</v>
      </c>
      <c r="BM43" s="36">
        <f ca="1"/>
        <v>5.0555876410878664E-2</v>
      </c>
      <c r="BN43" s="36">
        <f ca="1"/>
        <v>4.9143036515892469E-2</v>
      </c>
      <c r="BO43" s="36">
        <f ca="1"/>
        <v>4.9233606098773919E-2</v>
      </c>
      <c r="BP43" s="36">
        <f ca="1"/>
        <v>4.9794618792008416E-2</v>
      </c>
      <c r="BQ43" s="36">
        <f ca="1"/>
        <v>4.8204328785881545E-2</v>
      </c>
      <c r="BR43" s="36">
        <f ca="1"/>
        <v>4.9269631288765714E-2</v>
      </c>
      <c r="BS43" s="36">
        <f ca="1"/>
        <v>4.9415103355218593E-2</v>
      </c>
      <c r="BT43" s="36">
        <f ca="1"/>
        <v>4.9506562668640619E-2</v>
      </c>
      <c r="BU43" s="36">
        <f ca="1"/>
        <v>4.9275025352973678E-2</v>
      </c>
      <c r="BV43" s="36">
        <f ca="1"/>
        <v>5.0204034565185962E-2</v>
      </c>
      <c r="BW43" s="36">
        <f ca="1"/>
        <v>5.2492474088514429E-2</v>
      </c>
      <c r="BX43" s="36">
        <f ca="1"/>
        <v>5.2575582986027714E-2</v>
      </c>
      <c r="BY43" s="36">
        <f ca="1"/>
        <v>5.2635288781317513E-2</v>
      </c>
      <c r="BZ43" s="36">
        <f ca="1"/>
        <v>5.2945654478155468E-2</v>
      </c>
      <c r="CA43" s="36">
        <f ca="1"/>
        <v>5.3478573814593311E-2</v>
      </c>
      <c r="CB43" s="36">
        <f ca="1"/>
        <v>5.2636704900660636E-2</v>
      </c>
      <c r="CC43" s="36">
        <f ca="1"/>
        <v>5.3211524327256177E-2</v>
      </c>
      <c r="CD43" s="36">
        <f ca="1"/>
        <v>5.4660743434732817E-2</v>
      </c>
      <c r="CE43" s="36">
        <f ca="1"/>
        <v>5.5409961715009448E-2</v>
      </c>
      <c r="CF43" s="36">
        <f ca="1"/>
        <v>5.549177507365699E-2</v>
      </c>
      <c r="CG43" s="36">
        <f ca="1"/>
        <v>5.5311019743743861E-2</v>
      </c>
      <c r="CH43" s="36">
        <f ca="1"/>
        <v>5.5398241469883924E-2</v>
      </c>
      <c r="CI43" s="36">
        <f ca="1"/>
        <v>5.5433670388498779E-2</v>
      </c>
      <c r="CJ43" s="36">
        <f ca="1"/>
        <v>5.4928629585126121E-2</v>
      </c>
      <c r="CK43" s="36">
        <f ca="1"/>
        <v>5.411025869315389E-2</v>
      </c>
      <c r="CL43" s="36">
        <f ca="1"/>
        <v>5.3767351304671918E-2</v>
      </c>
      <c r="CM43" s="36">
        <f ca="1"/>
        <v>5.3549275858731482E-2</v>
      </c>
      <c r="CN43" s="36">
        <f ca="1"/>
        <v>5.4921461411711281E-2</v>
      </c>
      <c r="CO43" s="36">
        <f ca="1"/>
        <v>5.5925081988004832E-2</v>
      </c>
      <c r="CP43" s="36">
        <f ca="1"/>
        <v>5.5877226702234939E-2</v>
      </c>
      <c r="CQ43" s="36">
        <f ca="1"/>
        <v>5.5159295394053176E-2</v>
      </c>
      <c r="CR43" s="36">
        <f ca="1"/>
        <v>5.5373986678637799E-2</v>
      </c>
      <c r="CS43" s="36">
        <f ca="1"/>
        <v>5.5450283096883268E-2</v>
      </c>
      <c r="CT43" s="36">
        <f ca="1"/>
        <v>5.5276420298133733E-2</v>
      </c>
      <c r="CU43" s="36">
        <f ca="1"/>
        <v>5.5288504830999452E-2</v>
      </c>
      <c r="CV43" s="36">
        <f ca="1"/>
        <v>5.4127791952995663E-2</v>
      </c>
      <c r="CW43" s="36">
        <f ca="1"/>
        <v>5.4965102033897706E-2</v>
      </c>
      <c r="CX43" s="36">
        <f ca="1"/>
        <v>5.4620140951815221E-2</v>
      </c>
      <c r="CY43" s="36">
        <f ca="1"/>
        <v>5.4453798819614541E-2</v>
      </c>
      <c r="CZ43" s="36">
        <f ca="1"/>
        <v>5.3361708793591589E-2</v>
      </c>
      <c r="DA43" s="36">
        <f ca="1"/>
        <v>5.3844585407264001E-2</v>
      </c>
      <c r="DB43" s="36">
        <f ca="1"/>
        <v>5.4143233681450464E-2</v>
      </c>
      <c r="DC43" s="36">
        <f ca="1"/>
        <v>5.4829998397872615E-2</v>
      </c>
      <c r="DD43" s="36">
        <f ca="1"/>
        <v>5.4261441976227953E-2</v>
      </c>
      <c r="DE43" s="36">
        <f ca="1"/>
        <v>5.4382996357557722E-2</v>
      </c>
      <c r="DF43" s="36">
        <f ca="1"/>
        <v>5.4730856887479362E-2</v>
      </c>
      <c r="DG43" s="36">
        <f ca="1"/>
        <v>5.3484304208158084E-2</v>
      </c>
      <c r="DH43" s="36">
        <f ca="1"/>
        <v>5.5121972919515816E-2</v>
      </c>
      <c r="DI43" s="36">
        <f ca="1"/>
        <v>5.5571522516678851E-2</v>
      </c>
      <c r="DJ43" s="36">
        <f ca="1"/>
        <v>5.5155570629509709E-2</v>
      </c>
      <c r="DK43" s="36">
        <f ca="1"/>
        <v>5.4127914926739518E-2</v>
      </c>
      <c r="DL43" s="36">
        <f ca="1"/>
        <v>5.2848075436769504E-2</v>
      </c>
      <c r="DM43" s="36">
        <f ca="1"/>
        <v>5.2896929196813103E-2</v>
      </c>
      <c r="DN43" s="36">
        <f ca="1"/>
        <v>5.2971813715201987E-2</v>
      </c>
      <c r="DO43" s="36">
        <f ca="1"/>
        <v>5.2921512303683027E-2</v>
      </c>
      <c r="DP43" s="36">
        <f ca="1"/>
        <v>5.4166034428396514E-2</v>
      </c>
      <c r="DQ43" s="36">
        <f ca="1"/>
        <v>5.5690734261809594E-2</v>
      </c>
    </row>
    <row r="44" spans="1:121" s="36" customFormat="1" x14ac:dyDescent="0.3">
      <c r="A44" s="36">
        <f ca="1"/>
        <v>2.0000000000000018E-2</v>
      </c>
      <c r="B44" s="36">
        <f ca="1"/>
        <v>2.1036453589009962E-2</v>
      </c>
      <c r="C44" s="36">
        <f ca="1"/>
        <v>2.2418733938569746E-2</v>
      </c>
      <c r="D44" s="36">
        <f ca="1"/>
        <v>2.3469826386591786E-2</v>
      </c>
      <c r="E44" s="36">
        <f ca="1"/>
        <v>2.4374664957089731E-2</v>
      </c>
      <c r="F44" s="36">
        <f ca="1"/>
        <v>2.5644523985642653E-2</v>
      </c>
      <c r="G44" s="36">
        <f ca="1"/>
        <v>2.5993227850725997E-2</v>
      </c>
      <c r="H44" s="36">
        <f ca="1"/>
        <v>2.654110748342009E-2</v>
      </c>
      <c r="I44" s="36">
        <f ca="1"/>
        <v>2.7441661648261784E-2</v>
      </c>
      <c r="J44" s="36">
        <f ca="1"/>
        <v>2.7720009203709983E-2</v>
      </c>
      <c r="K44" s="36">
        <f ca="1"/>
        <v>2.8812956530173572E-2</v>
      </c>
      <c r="L44" s="36">
        <f ca="1"/>
        <v>3.0049725930813898E-2</v>
      </c>
      <c r="M44" s="36">
        <f ca="1"/>
        <v>3.1199738731191085E-2</v>
      </c>
      <c r="N44" s="36">
        <f ca="1"/>
        <v>3.1581139002166969E-2</v>
      </c>
      <c r="O44" s="36">
        <f ca="1"/>
        <v>3.2701713741958516E-2</v>
      </c>
      <c r="P44" s="36">
        <f ca="1"/>
        <v>3.3084821016273747E-2</v>
      </c>
      <c r="Q44" s="36">
        <f ca="1"/>
        <v>3.3400412799510004E-2</v>
      </c>
      <c r="R44" s="36">
        <f ca="1"/>
        <v>3.3844614968524978E-2</v>
      </c>
      <c r="S44" s="36">
        <f ca="1"/>
        <v>3.4547212123896331E-2</v>
      </c>
      <c r="T44" s="36">
        <f ca="1"/>
        <v>3.51937071371351E-2</v>
      </c>
      <c r="U44" s="36">
        <f ca="1"/>
        <v>3.5858739537574902E-2</v>
      </c>
      <c r="V44" s="36">
        <f ca="1"/>
        <v>3.6105744136466944E-2</v>
      </c>
      <c r="W44" s="36">
        <f ca="1"/>
        <v>3.7140805280296618E-2</v>
      </c>
      <c r="X44" s="36">
        <f ca="1"/>
        <v>3.732353701193003E-2</v>
      </c>
      <c r="Y44" s="36">
        <f ca="1"/>
        <v>3.7032220684903638E-2</v>
      </c>
      <c r="Z44" s="36">
        <f ca="1"/>
        <v>3.6637934507058212E-2</v>
      </c>
      <c r="AA44" s="36">
        <f ca="1"/>
        <v>3.7762376643396545E-2</v>
      </c>
      <c r="AB44" s="36">
        <f ca="1"/>
        <v>3.7887127532998832E-2</v>
      </c>
      <c r="AC44" s="36">
        <f ca="1"/>
        <v>3.7787546552557005E-2</v>
      </c>
      <c r="AD44" s="36">
        <f ca="1"/>
        <v>3.7345408425353055E-2</v>
      </c>
      <c r="AE44" s="36">
        <f ca="1"/>
        <v>3.8063126640326406E-2</v>
      </c>
      <c r="AF44" s="36">
        <f ca="1"/>
        <v>3.8128812822358471E-2</v>
      </c>
      <c r="AG44" s="36">
        <f ca="1"/>
        <v>3.7896231779000145E-2</v>
      </c>
      <c r="AH44" s="36">
        <f ca="1"/>
        <v>3.8230953617225838E-2</v>
      </c>
      <c r="AI44" s="36">
        <f ca="1"/>
        <v>3.8145749816715924E-2</v>
      </c>
      <c r="AJ44" s="36">
        <f ca="1"/>
        <v>3.8429965725060189E-2</v>
      </c>
      <c r="AK44" s="36">
        <f ca="1"/>
        <v>3.9665070275342273E-2</v>
      </c>
      <c r="AL44" s="36">
        <f ca="1"/>
        <v>4.1037672586350382E-2</v>
      </c>
      <c r="AM44" s="36">
        <f ca="1"/>
        <v>4.2287541339390389E-2</v>
      </c>
      <c r="AN44" s="36">
        <f ca="1"/>
        <v>4.3095638194314168E-2</v>
      </c>
      <c r="AO44" s="36">
        <f ca="1"/>
        <v>4.3568019010174375E-2</v>
      </c>
      <c r="AP44" s="36">
        <f ca="1"/>
        <v>4.3680040666606246E-2</v>
      </c>
      <c r="AQ44" s="36">
        <f ca="1"/>
        <v>4.4086877176643835E-2</v>
      </c>
      <c r="AR44" s="36">
        <f ca="1"/>
        <v>4.517135769031988E-2</v>
      </c>
      <c r="AS44" s="36">
        <f ca="1"/>
        <v>4.5021550268628641E-2</v>
      </c>
      <c r="AT44" s="36">
        <f ca="1"/>
        <v>4.5185400341934967E-2</v>
      </c>
      <c r="AU44" s="36">
        <f ca="1"/>
        <v>4.6676926619839687E-2</v>
      </c>
      <c r="AV44" s="36">
        <f ca="1"/>
        <v>4.5865690112091073E-2</v>
      </c>
      <c r="AW44" s="36">
        <f ca="1"/>
        <v>4.5928176089746975E-2</v>
      </c>
      <c r="AX44" s="36">
        <f ca="1"/>
        <v>4.6246610468048788E-2</v>
      </c>
      <c r="AY44" s="36">
        <f ca="1"/>
        <v>4.747084801901047E-2</v>
      </c>
      <c r="AZ44" s="36">
        <f ca="1"/>
        <v>4.7944581853253787E-2</v>
      </c>
      <c r="BA44" s="36">
        <f ca="1"/>
        <v>4.705280351954455E-2</v>
      </c>
      <c r="BB44" s="36">
        <f ca="1"/>
        <v>4.8151187032380305E-2</v>
      </c>
      <c r="BC44" s="36">
        <f ca="1"/>
        <v>5.0064478510086774E-2</v>
      </c>
      <c r="BD44" s="36">
        <f ca="1"/>
        <v>5.0018433230693882E-2</v>
      </c>
      <c r="BE44" s="36">
        <f ca="1"/>
        <v>5.0343565335489782E-2</v>
      </c>
      <c r="BF44" s="36">
        <f ca="1"/>
        <v>4.9849124372280063E-2</v>
      </c>
      <c r="BG44" s="36">
        <f ca="1"/>
        <v>4.9637674797311293E-2</v>
      </c>
      <c r="BH44" s="36">
        <f ca="1"/>
        <v>4.9626156959028389E-2</v>
      </c>
      <c r="BI44" s="36">
        <f ca="1"/>
        <v>5.0614216594695671E-2</v>
      </c>
      <c r="BJ44" s="36">
        <f ca="1"/>
        <v>4.9898956547481443E-2</v>
      </c>
      <c r="BK44" s="36">
        <f ca="1"/>
        <v>4.9315253791322622E-2</v>
      </c>
      <c r="BL44" s="36">
        <f ca="1"/>
        <v>4.8877933887452762E-2</v>
      </c>
      <c r="BM44" s="36">
        <f ca="1"/>
        <v>4.8543239544352135E-2</v>
      </c>
      <c r="BN44" s="36">
        <f ca="1"/>
        <v>4.7750863596331294E-2</v>
      </c>
      <c r="BO44" s="36">
        <f ca="1"/>
        <v>4.7364293051360917E-2</v>
      </c>
      <c r="BP44" s="36">
        <f ca="1"/>
        <v>4.7382448605736593E-2</v>
      </c>
      <c r="BQ44" s="36">
        <f ca="1"/>
        <v>4.7530719206440697E-2</v>
      </c>
      <c r="BR44" s="36">
        <f ca="1"/>
        <v>4.7467593105821493E-2</v>
      </c>
      <c r="BS44" s="36">
        <f ca="1"/>
        <v>4.9086034798495604E-2</v>
      </c>
      <c r="BT44" s="36">
        <f ca="1"/>
        <v>4.9967820689288622E-2</v>
      </c>
      <c r="BU44" s="36">
        <f ca="1"/>
        <v>5.0195940384458959E-2</v>
      </c>
      <c r="BV44" s="36">
        <f ca="1"/>
        <v>5.0556491807769E-2</v>
      </c>
      <c r="BW44" s="36">
        <f ca="1"/>
        <v>5.0933659472735648E-2</v>
      </c>
      <c r="BX44" s="36">
        <f ca="1"/>
        <v>4.9752766296329076E-2</v>
      </c>
      <c r="BY44" s="36">
        <f ca="1"/>
        <v>4.9748059318542648E-2</v>
      </c>
      <c r="BZ44" s="36">
        <f ca="1"/>
        <v>4.936097593894484E-2</v>
      </c>
      <c r="CA44" s="36">
        <f ca="1"/>
        <v>4.9874193476384887E-2</v>
      </c>
      <c r="CB44" s="36">
        <f ca="1"/>
        <v>5.1297478710534916E-2</v>
      </c>
      <c r="CC44" s="36">
        <f ca="1"/>
        <v>5.2326081961563853E-2</v>
      </c>
      <c r="CD44" s="36">
        <f ca="1"/>
        <v>5.3347222337822853E-2</v>
      </c>
      <c r="CE44" s="36">
        <f ca="1"/>
        <v>5.2691733850425804E-2</v>
      </c>
      <c r="CF44" s="36">
        <f ca="1"/>
        <v>5.39852197995907E-2</v>
      </c>
      <c r="CG44" s="36">
        <f ca="1"/>
        <v>5.4332201645525657E-2</v>
      </c>
      <c r="CH44" s="36">
        <f ca="1"/>
        <v>5.4814028944765836E-2</v>
      </c>
      <c r="CI44" s="36">
        <f ca="1"/>
        <v>5.4425861958829591E-2</v>
      </c>
      <c r="CJ44" s="36">
        <f ca="1"/>
        <v>5.3595967656950627E-2</v>
      </c>
      <c r="CK44" s="36">
        <f ca="1"/>
        <v>5.357065336349609E-2</v>
      </c>
      <c r="CL44" s="36">
        <f ca="1"/>
        <v>5.401932712560642E-2</v>
      </c>
      <c r="CM44" s="36">
        <f ca="1"/>
        <v>5.2939577601763599E-2</v>
      </c>
      <c r="CN44" s="36">
        <f ca="1"/>
        <v>5.3111131436219372E-2</v>
      </c>
      <c r="CO44" s="36">
        <f ca="1"/>
        <v>5.2943683453691603E-2</v>
      </c>
      <c r="CP44" s="36">
        <f ca="1"/>
        <v>5.3345654866131742E-2</v>
      </c>
      <c r="CQ44" s="36">
        <f ca="1"/>
        <v>5.2920589466107559E-2</v>
      </c>
      <c r="CR44" s="36">
        <f ca="1"/>
        <v>5.2926130091711432E-2</v>
      </c>
      <c r="CS44" s="36">
        <f ca="1"/>
        <v>5.3680628896276339E-2</v>
      </c>
      <c r="CT44" s="36">
        <f ca="1"/>
        <v>5.3642611794837647E-2</v>
      </c>
      <c r="CU44" s="36">
        <f ca="1"/>
        <v>5.4271801203208403E-2</v>
      </c>
      <c r="CV44" s="36">
        <f ca="1"/>
        <v>5.4737432373099804E-2</v>
      </c>
      <c r="CW44" s="36">
        <f ca="1"/>
        <v>5.4324104426294983E-2</v>
      </c>
      <c r="CX44" s="36">
        <f ca="1"/>
        <v>5.3683330098944548E-2</v>
      </c>
      <c r="CY44" s="36">
        <f ca="1"/>
        <v>5.4284274522963916E-2</v>
      </c>
      <c r="CZ44" s="36">
        <f ca="1"/>
        <v>5.4993874558080025E-2</v>
      </c>
      <c r="DA44" s="36">
        <f ca="1"/>
        <v>5.4671158064454106E-2</v>
      </c>
      <c r="DB44" s="36">
        <f ca="1"/>
        <v>5.3963431675368101E-2</v>
      </c>
      <c r="DC44" s="36">
        <f ca="1"/>
        <v>5.4826588473707361E-2</v>
      </c>
      <c r="DD44" s="36">
        <f ca="1"/>
        <v>5.4875286592713124E-2</v>
      </c>
      <c r="DE44" s="36">
        <f ca="1"/>
        <v>5.4467919553321975E-2</v>
      </c>
      <c r="DF44" s="36">
        <f ca="1"/>
        <v>5.4050304891066325E-2</v>
      </c>
      <c r="DG44" s="36">
        <f ca="1"/>
        <v>5.2865470277073667E-2</v>
      </c>
      <c r="DH44" s="36">
        <f ca="1"/>
        <v>5.3599773331695744E-2</v>
      </c>
      <c r="DI44" s="36">
        <f ca="1"/>
        <v>5.2533742078187062E-2</v>
      </c>
      <c r="DJ44" s="36">
        <f ca="1"/>
        <v>5.2689289843735443E-2</v>
      </c>
      <c r="DK44" s="36">
        <f ca="1"/>
        <v>5.2861745383316006E-2</v>
      </c>
      <c r="DL44" s="36">
        <f ca="1"/>
        <v>5.3402626554893251E-2</v>
      </c>
      <c r="DM44" s="36">
        <f ca="1"/>
        <v>5.3932693785048169E-2</v>
      </c>
      <c r="DN44" s="36">
        <f ca="1"/>
        <v>5.4068274316718234E-2</v>
      </c>
      <c r="DO44" s="36">
        <f ca="1"/>
        <v>5.3345156536200644E-2</v>
      </c>
      <c r="DP44" s="36">
        <f ca="1"/>
        <v>5.3324773330908348E-2</v>
      </c>
      <c r="DQ44" s="36">
        <f ca="1"/>
        <v>5.3124593738353765E-2</v>
      </c>
    </row>
    <row r="45" spans="1:121" s="36" customFormat="1" x14ac:dyDescent="0.3">
      <c r="A45" s="36">
        <f ca="1"/>
        <v>2.0000000000000018E-2</v>
      </c>
      <c r="B45" s="36">
        <f ca="1"/>
        <v>2.1262233725464652E-2</v>
      </c>
      <c r="C45" s="36">
        <f ca="1"/>
        <v>2.2911993988832258E-2</v>
      </c>
      <c r="D45" s="36">
        <f ca="1"/>
        <v>2.4499678692545102E-2</v>
      </c>
      <c r="E45" s="36">
        <f ca="1"/>
        <v>2.553756463980994E-2</v>
      </c>
      <c r="F45" s="36">
        <f ca="1"/>
        <v>2.5986651273889549E-2</v>
      </c>
      <c r="G45" s="36">
        <f ca="1"/>
        <v>2.744769203201014E-2</v>
      </c>
      <c r="H45" s="36">
        <f ca="1"/>
        <v>2.8316661667516563E-2</v>
      </c>
      <c r="I45" s="36">
        <f ca="1"/>
        <v>2.9033185228313219E-2</v>
      </c>
      <c r="J45" s="36">
        <f ca="1"/>
        <v>3.0134144493310089E-2</v>
      </c>
      <c r="K45" s="36">
        <f ca="1"/>
        <v>3.0076273527222419E-2</v>
      </c>
      <c r="L45" s="36">
        <f ca="1"/>
        <v>3.1468093000352582E-2</v>
      </c>
      <c r="M45" s="36">
        <f ca="1"/>
        <v>3.1619859138543038E-2</v>
      </c>
      <c r="N45" s="36">
        <f ca="1"/>
        <v>3.3428750495786863E-2</v>
      </c>
      <c r="O45" s="36">
        <f ca="1"/>
        <v>3.3138667232083918E-2</v>
      </c>
      <c r="P45" s="36">
        <f ca="1"/>
        <v>3.3870131448839658E-2</v>
      </c>
      <c r="Q45" s="36">
        <f ca="1"/>
        <v>3.4151398524405963E-2</v>
      </c>
      <c r="R45" s="36">
        <f ca="1"/>
        <v>3.467349075362014E-2</v>
      </c>
      <c r="S45" s="36">
        <f ca="1"/>
        <v>3.5843556354938189E-2</v>
      </c>
      <c r="T45" s="36">
        <f ca="1"/>
        <v>3.6721475157174277E-2</v>
      </c>
      <c r="U45" s="36">
        <f ca="1"/>
        <v>3.6367672862871903E-2</v>
      </c>
      <c r="V45" s="36">
        <f ca="1"/>
        <v>3.7011117874703903E-2</v>
      </c>
      <c r="W45" s="36">
        <f ca="1"/>
        <v>3.8169633461357488E-2</v>
      </c>
      <c r="X45" s="36">
        <f ca="1"/>
        <v>3.8557728355361975E-2</v>
      </c>
      <c r="Y45" s="36">
        <f ca="1"/>
        <v>3.8929414680507257E-2</v>
      </c>
      <c r="Z45" s="36">
        <f ca="1"/>
        <v>3.9255028018693627E-2</v>
      </c>
      <c r="AA45" s="36">
        <f ca="1"/>
        <v>4.0147116838267216E-2</v>
      </c>
      <c r="AB45" s="36">
        <f ca="1"/>
        <v>4.0487251423530157E-2</v>
      </c>
      <c r="AC45" s="36">
        <f ca="1"/>
        <v>4.1183901123000632E-2</v>
      </c>
      <c r="AD45" s="36">
        <f ca="1"/>
        <v>4.1323822804264054E-2</v>
      </c>
      <c r="AE45" s="36">
        <f ca="1"/>
        <v>4.2596512148504129E-2</v>
      </c>
      <c r="AF45" s="36">
        <f ca="1"/>
        <v>4.1845015559323517E-2</v>
      </c>
      <c r="AG45" s="36">
        <f ca="1"/>
        <v>4.1645242214659595E-2</v>
      </c>
      <c r="AH45" s="36">
        <f ca="1"/>
        <v>4.1794212916528295E-2</v>
      </c>
      <c r="AI45" s="36">
        <f ca="1"/>
        <v>4.2186279671446725E-2</v>
      </c>
      <c r="AJ45" s="36">
        <f ca="1"/>
        <v>4.2699382362179517E-2</v>
      </c>
      <c r="AK45" s="36">
        <f ca="1"/>
        <v>4.3245310146958538E-2</v>
      </c>
      <c r="AL45" s="36">
        <f ca="1"/>
        <v>4.535109003833715E-2</v>
      </c>
      <c r="AM45" s="36">
        <f ca="1"/>
        <v>4.4596949949667453E-2</v>
      </c>
      <c r="AN45" s="36">
        <f ca="1"/>
        <v>4.4834987782237379E-2</v>
      </c>
      <c r="AO45" s="36">
        <f ca="1"/>
        <v>4.5021644103966585E-2</v>
      </c>
      <c r="AP45" s="36">
        <f ca="1"/>
        <v>4.6207459826698827E-2</v>
      </c>
      <c r="AQ45" s="36">
        <f ca="1"/>
        <v>4.6789145983245239E-2</v>
      </c>
      <c r="AR45" s="36">
        <f ca="1"/>
        <v>4.6817471673864741E-2</v>
      </c>
      <c r="AS45" s="36">
        <f ca="1"/>
        <v>4.7887784733848804E-2</v>
      </c>
      <c r="AT45" s="36">
        <f ca="1"/>
        <v>4.8311504071140154E-2</v>
      </c>
      <c r="AU45" s="36">
        <f ca="1"/>
        <v>4.912106719794318E-2</v>
      </c>
      <c r="AV45" s="36">
        <f ca="1"/>
        <v>4.8486989855980323E-2</v>
      </c>
      <c r="AW45" s="36">
        <f ca="1"/>
        <v>4.9761854709582387E-2</v>
      </c>
      <c r="AX45" s="36">
        <f ca="1"/>
        <v>5.0411613218838136E-2</v>
      </c>
      <c r="AY45" s="36">
        <f ca="1"/>
        <v>5.2077453477031632E-2</v>
      </c>
      <c r="AZ45" s="36">
        <f ca="1"/>
        <v>5.3466690654133009E-2</v>
      </c>
      <c r="BA45" s="36">
        <f ca="1"/>
        <v>5.2493731445129921E-2</v>
      </c>
      <c r="BB45" s="36">
        <f ca="1"/>
        <v>5.2915620075769221E-2</v>
      </c>
      <c r="BC45" s="36">
        <f ca="1"/>
        <v>5.2638422390827833E-2</v>
      </c>
      <c r="BD45" s="36">
        <f ca="1"/>
        <v>5.2268135715025865E-2</v>
      </c>
      <c r="BE45" s="36">
        <f ca="1"/>
        <v>5.1085200113839102E-2</v>
      </c>
      <c r="BF45" s="36">
        <f ca="1"/>
        <v>5.0573444748818197E-2</v>
      </c>
      <c r="BG45" s="36">
        <f ca="1"/>
        <v>4.9319529007683105E-2</v>
      </c>
      <c r="BH45" s="36">
        <f ca="1"/>
        <v>4.9711452079727936E-2</v>
      </c>
      <c r="BI45" s="36">
        <f ca="1"/>
        <v>5.0738922146895682E-2</v>
      </c>
      <c r="BJ45" s="36">
        <f ca="1"/>
        <v>5.0842167544913108E-2</v>
      </c>
      <c r="BK45" s="36">
        <f ca="1"/>
        <v>5.0736624777918404E-2</v>
      </c>
      <c r="BL45" s="36">
        <f ca="1"/>
        <v>5.0487953877697667E-2</v>
      </c>
      <c r="BM45" s="36">
        <f ca="1"/>
        <v>5.0303385914314935E-2</v>
      </c>
      <c r="BN45" s="36">
        <f ca="1"/>
        <v>4.9483126931257893E-2</v>
      </c>
      <c r="BO45" s="36">
        <f ca="1"/>
        <v>4.9467666498833829E-2</v>
      </c>
      <c r="BP45" s="36">
        <f ca="1"/>
        <v>5.0196681846732538E-2</v>
      </c>
      <c r="BQ45" s="36">
        <f ca="1"/>
        <v>5.0197786325622662E-2</v>
      </c>
      <c r="BR45" s="36">
        <f ca="1"/>
        <v>5.0195710471645727E-2</v>
      </c>
      <c r="BS45" s="36">
        <f ca="1"/>
        <v>5.085621096905224E-2</v>
      </c>
      <c r="BT45" s="36">
        <f ca="1"/>
        <v>5.0611058513104323E-2</v>
      </c>
      <c r="BU45" s="36">
        <f ca="1"/>
        <v>5.0161021022011143E-2</v>
      </c>
      <c r="BV45" s="36">
        <f ca="1"/>
        <v>4.9324278526186927E-2</v>
      </c>
      <c r="BW45" s="36">
        <f ca="1"/>
        <v>4.877256557138554E-2</v>
      </c>
      <c r="BX45" s="36">
        <f ca="1"/>
        <v>4.901230370327414E-2</v>
      </c>
      <c r="BY45" s="36">
        <f ca="1"/>
        <v>4.8731420763388211E-2</v>
      </c>
      <c r="BZ45" s="36">
        <f ca="1"/>
        <v>4.7689613744842374E-2</v>
      </c>
      <c r="CA45" s="36">
        <f ca="1"/>
        <v>4.7298262863703977E-2</v>
      </c>
      <c r="CB45" s="36">
        <f ca="1"/>
        <v>4.7836835078427953E-2</v>
      </c>
      <c r="CC45" s="36">
        <f ca="1"/>
        <v>4.8150544623682512E-2</v>
      </c>
      <c r="CD45" s="36">
        <f ca="1"/>
        <v>4.8039306612357668E-2</v>
      </c>
      <c r="CE45" s="36">
        <f ca="1"/>
        <v>4.753837870184463E-2</v>
      </c>
      <c r="CF45" s="36">
        <f ca="1"/>
        <v>4.688613498443317E-2</v>
      </c>
      <c r="CG45" s="36">
        <f ca="1"/>
        <v>4.6993001412550583E-2</v>
      </c>
      <c r="CH45" s="36">
        <f ca="1"/>
        <v>4.7031971092878821E-2</v>
      </c>
      <c r="CI45" s="36">
        <f ca="1"/>
        <v>4.6709462964980908E-2</v>
      </c>
      <c r="CJ45" s="36">
        <f ca="1"/>
        <v>4.6701165276123557E-2</v>
      </c>
      <c r="CK45" s="36">
        <f ca="1"/>
        <v>4.7113557289102159E-2</v>
      </c>
      <c r="CL45" s="36">
        <f ca="1"/>
        <v>4.8048277375900339E-2</v>
      </c>
      <c r="CM45" s="36">
        <f ca="1"/>
        <v>4.8072349350114063E-2</v>
      </c>
      <c r="CN45" s="36">
        <f ca="1"/>
        <v>4.8044389433604229E-2</v>
      </c>
      <c r="CO45" s="36">
        <f ca="1"/>
        <v>4.8512332896485821E-2</v>
      </c>
      <c r="CP45" s="36">
        <f ca="1"/>
        <v>4.9303085634465615E-2</v>
      </c>
      <c r="CQ45" s="36">
        <f ca="1"/>
        <v>4.8744208033793424E-2</v>
      </c>
      <c r="CR45" s="36">
        <f ca="1"/>
        <v>4.78496666082735E-2</v>
      </c>
      <c r="CS45" s="36">
        <f ca="1"/>
        <v>4.7743810876631709E-2</v>
      </c>
      <c r="CT45" s="36">
        <f ca="1"/>
        <v>4.8433577786615167E-2</v>
      </c>
      <c r="CU45" s="36">
        <f ca="1"/>
        <v>4.7667060993596744E-2</v>
      </c>
      <c r="CV45" s="36">
        <f ca="1"/>
        <v>4.8369922193518322E-2</v>
      </c>
      <c r="CW45" s="36">
        <f ca="1"/>
        <v>4.8273289241431927E-2</v>
      </c>
      <c r="CX45" s="36">
        <f ca="1"/>
        <v>4.939018354384217E-2</v>
      </c>
      <c r="CY45" s="36">
        <f ca="1"/>
        <v>4.9439511616077736E-2</v>
      </c>
      <c r="CZ45" s="36">
        <f ca="1"/>
        <v>4.9880091469008514E-2</v>
      </c>
      <c r="DA45" s="36">
        <f ca="1"/>
        <v>5.0377560840453306E-2</v>
      </c>
      <c r="DB45" s="36">
        <f ca="1"/>
        <v>4.9933467208315818E-2</v>
      </c>
      <c r="DC45" s="36">
        <f ca="1"/>
        <v>4.9995691913662377E-2</v>
      </c>
      <c r="DD45" s="36">
        <f ca="1"/>
        <v>4.9259973406170054E-2</v>
      </c>
      <c r="DE45" s="36">
        <f ca="1"/>
        <v>4.9187570954012605E-2</v>
      </c>
      <c r="DF45" s="36">
        <f ca="1"/>
        <v>4.8772660932541179E-2</v>
      </c>
      <c r="DG45" s="36">
        <f ca="1"/>
        <v>4.9537750322222962E-2</v>
      </c>
      <c r="DH45" s="36">
        <f ca="1"/>
        <v>4.9685297319647548E-2</v>
      </c>
      <c r="DI45" s="36">
        <f ca="1"/>
        <v>5.045694487592467E-2</v>
      </c>
      <c r="DJ45" s="36">
        <f ca="1"/>
        <v>5.0769738258315211E-2</v>
      </c>
      <c r="DK45" s="36">
        <f ca="1"/>
        <v>5.1143248655586948E-2</v>
      </c>
      <c r="DL45" s="36">
        <f ca="1"/>
        <v>5.0133689182081387E-2</v>
      </c>
      <c r="DM45" s="36">
        <f ca="1"/>
        <v>5.1329468216820606E-2</v>
      </c>
      <c r="DN45" s="36">
        <f ca="1"/>
        <v>5.1192738397124238E-2</v>
      </c>
      <c r="DO45" s="36">
        <f ca="1"/>
        <v>5.005680257536449E-2</v>
      </c>
      <c r="DP45" s="36">
        <f ca="1"/>
        <v>5.0449301776117172E-2</v>
      </c>
      <c r="DQ45" s="36">
        <f ca="1"/>
        <v>4.982761383793699E-2</v>
      </c>
    </row>
    <row r="46" spans="1:121" s="36" customFormat="1" x14ac:dyDescent="0.3"/>
    <row r="47" spans="1:121" s="36" customFormat="1" x14ac:dyDescent="0.3"/>
    <row r="48" spans="1:121" s="36" customFormat="1" x14ac:dyDescent="0.3"/>
    <row r="49" spans="1:121" s="36" customFormat="1" x14ac:dyDescent="0.3"/>
    <row r="50" spans="1:121" s="36" customFormat="1" x14ac:dyDescent="0.3"/>
    <row r="51" spans="1:121" s="37" customFormat="1" x14ac:dyDescent="0.3">
      <c r="A51" s="37" cm="1">
        <f t="array" aca="1" ref="A51:DQ55" ca="1">_xlfn.LET(
  _xlpm.a, B6, _xlpm.b, B7, _xlpm.s, B8, _xlpm.h, SQRT(_xlpm.a^2 + 2*_xlpm.s^2),
  _xlfn.MAP(_xlfn.ANCHORARRAY(A31),_xlfn.MAKEARRAY(ROWS(_xlfn.ANCHORARRAY(A31)),COLUMNS(_xlfn.ANCHORARRAY(A31)),_xlfn.LAMBDA(_xlpm._,_xlpm.c,B3-(_xlpm.c-MIN(COLUMN(_xlfn.ANCHORARRAY(A31))))/B5)),_xlfn.LAMBDA(_xlpm.r,_xlpm.t,_xlfn.LET(
    _xlpm._a, ((2*_xlpm.h*EXP((_xlpm.h+_xlpm.a)*_xlpm.t/2))/(2*_xlpm.h+(_xlpm.h+_xlpm.a)*(EXP(_xlpm.h*_xlpm.t)-1)))^(2*_xlpm.a*_xlpm.b/_xlpm.s^2),
    _xlpm._b, (2*(EXP(_xlpm.h*_xlpm.t)-1))/(2*_xlpm.h + (_xlpm.h+_xlpm.a)*(EXP(_xlpm.h*_xlpm.t)-1)),
    _xlpm._a*EXP(-_xlpm._b*_xlpm.r)
))))</f>
        <v>0.64406656131390982</v>
      </c>
      <c r="B51" s="37">
        <f ca="1"/>
        <v>0.64513843984089458</v>
      </c>
      <c r="C51" s="37">
        <f ca="1"/>
        <v>0.64606505617675747</v>
      </c>
      <c r="D51" s="37">
        <f ca="1"/>
        <v>0.64770201863265009</v>
      </c>
      <c r="E51" s="37">
        <f ca="1"/>
        <v>0.64876530562173396</v>
      </c>
      <c r="F51" s="37">
        <f ca="1"/>
        <v>0.64947870632483073</v>
      </c>
      <c r="G51" s="37">
        <f ca="1"/>
        <v>0.65078959268077918</v>
      </c>
      <c r="H51" s="37">
        <f ca="1"/>
        <v>0.65222907000311969</v>
      </c>
      <c r="I51" s="37">
        <f ca="1"/>
        <v>0.6539201577183591</v>
      </c>
      <c r="J51" s="37">
        <f ca="1"/>
        <v>0.6548039261479589</v>
      </c>
      <c r="K51" s="37">
        <f ca="1"/>
        <v>0.65653608386499496</v>
      </c>
      <c r="L51" s="37">
        <f ca="1"/>
        <v>0.65920522724451991</v>
      </c>
      <c r="M51" s="37">
        <f ca="1"/>
        <v>0.66113766305119692</v>
      </c>
      <c r="N51" s="37">
        <f ca="1"/>
        <v>0.66313359590888743</v>
      </c>
      <c r="O51" s="37">
        <f ca="1"/>
        <v>0.66509212051283317</v>
      </c>
      <c r="P51" s="37">
        <f ca="1"/>
        <v>0.66755249636270597</v>
      </c>
      <c r="Q51" s="37">
        <f ca="1"/>
        <v>0.67011847904705391</v>
      </c>
      <c r="R51" s="37">
        <f ca="1"/>
        <v>0.67191297615621437</v>
      </c>
      <c r="S51" s="37">
        <f ca="1"/>
        <v>0.67356505815946477</v>
      </c>
      <c r="T51" s="37">
        <f ca="1"/>
        <v>0.67571330841922983</v>
      </c>
      <c r="U51" s="37">
        <f ca="1"/>
        <v>0.67765180003081971</v>
      </c>
      <c r="V51" s="37">
        <f ca="1"/>
        <v>0.68063722759416678</v>
      </c>
      <c r="W51" s="37">
        <f ca="1"/>
        <v>0.68260661944884238</v>
      </c>
      <c r="X51" s="37">
        <f ca="1"/>
        <v>0.68487113258882226</v>
      </c>
      <c r="Y51" s="37">
        <f ca="1"/>
        <v>0.68853783350877662</v>
      </c>
      <c r="Z51" s="37">
        <f ca="1"/>
        <v>0.69128390473450907</v>
      </c>
      <c r="AA51" s="37">
        <f ca="1"/>
        <v>0.69352353002264611</v>
      </c>
      <c r="AB51" s="37">
        <f ca="1"/>
        <v>0.69418654200267438</v>
      </c>
      <c r="AC51" s="37">
        <f ca="1"/>
        <v>0.69741369845191015</v>
      </c>
      <c r="AD51" s="37">
        <f ca="1"/>
        <v>0.69970735642227455</v>
      </c>
      <c r="AE51" s="37">
        <f ca="1"/>
        <v>0.70133634029833614</v>
      </c>
      <c r="AF51" s="37">
        <f ca="1"/>
        <v>0.7041505628615069</v>
      </c>
      <c r="AG51" s="37">
        <f ca="1"/>
        <v>0.70704209244287275</v>
      </c>
      <c r="AH51" s="37">
        <f ca="1"/>
        <v>0.70980741749317589</v>
      </c>
      <c r="AI51" s="37">
        <f ca="1"/>
        <v>0.71154048271249293</v>
      </c>
      <c r="AJ51" s="37">
        <f ca="1"/>
        <v>0.71435993643128848</v>
      </c>
      <c r="AK51" s="37">
        <f ca="1"/>
        <v>0.71614824081976347</v>
      </c>
      <c r="AL51" s="37">
        <f ca="1"/>
        <v>0.71867994598929985</v>
      </c>
      <c r="AM51" s="37">
        <f ca="1"/>
        <v>0.72201697323071878</v>
      </c>
      <c r="AN51" s="37">
        <f ca="1"/>
        <v>0.72403711882664834</v>
      </c>
      <c r="AO51" s="37">
        <f ca="1"/>
        <v>0.72557728850453984</v>
      </c>
      <c r="AP51" s="37">
        <f ca="1"/>
        <v>0.7282122223923424</v>
      </c>
      <c r="AQ51" s="37">
        <f ca="1"/>
        <v>0.72979317756840645</v>
      </c>
      <c r="AR51" s="37">
        <f ca="1"/>
        <v>0.73339906297322133</v>
      </c>
      <c r="AS51" s="37">
        <f ca="1"/>
        <v>0.73544673627373991</v>
      </c>
      <c r="AT51" s="37">
        <f ca="1"/>
        <v>0.73790417777030071</v>
      </c>
      <c r="AU51" s="37">
        <f ca="1"/>
        <v>0.74170436008510698</v>
      </c>
      <c r="AV51" s="37">
        <f ca="1"/>
        <v>0.7433249837993704</v>
      </c>
      <c r="AW51" s="37">
        <f ca="1"/>
        <v>0.74595259268675806</v>
      </c>
      <c r="AX51" s="37">
        <f ca="1"/>
        <v>0.75076862698103075</v>
      </c>
      <c r="AY51" s="37">
        <f ca="1"/>
        <v>0.75322902207201026</v>
      </c>
      <c r="AZ51" s="37">
        <f ca="1"/>
        <v>0.75775900839110621</v>
      </c>
      <c r="BA51" s="37">
        <f ca="1"/>
        <v>0.76096584216726793</v>
      </c>
      <c r="BB51" s="37">
        <f ca="1"/>
        <v>0.76244272556663883</v>
      </c>
      <c r="BC51" s="37">
        <f ca="1"/>
        <v>0.76529751397615442</v>
      </c>
      <c r="BD51" s="37">
        <f ca="1"/>
        <v>0.76800878735224887</v>
      </c>
      <c r="BE51" s="37">
        <f ca="1"/>
        <v>0.7717489072119621</v>
      </c>
      <c r="BF51" s="37">
        <f ca="1"/>
        <v>0.77527275515609839</v>
      </c>
      <c r="BG51" s="37">
        <f ca="1"/>
        <v>0.77914335467694973</v>
      </c>
      <c r="BH51" s="37">
        <f ca="1"/>
        <v>0.78156621439006346</v>
      </c>
      <c r="BI51" s="37">
        <f ca="1"/>
        <v>0.78701519391872354</v>
      </c>
      <c r="BJ51" s="37">
        <f ca="1"/>
        <v>0.79065706639896738</v>
      </c>
      <c r="BK51" s="37">
        <f ca="1"/>
        <v>0.79483006352635954</v>
      </c>
      <c r="BL51" s="37">
        <f ca="1"/>
        <v>0.79802147437919724</v>
      </c>
      <c r="BM51" s="37">
        <f ca="1"/>
        <v>0.79938775848010435</v>
      </c>
      <c r="BN51" s="37">
        <f ca="1"/>
        <v>0.80145920899785739</v>
      </c>
      <c r="BO51" s="37">
        <f ca="1"/>
        <v>0.80305461036528725</v>
      </c>
      <c r="BP51" s="37">
        <f ca="1"/>
        <v>0.80720473696538286</v>
      </c>
      <c r="BQ51" s="37">
        <f ca="1"/>
        <v>0.80999955082150399</v>
      </c>
      <c r="BR51" s="37">
        <f ca="1"/>
        <v>0.81333037086521254</v>
      </c>
      <c r="BS51" s="37">
        <f ca="1"/>
        <v>0.81480875766394989</v>
      </c>
      <c r="BT51" s="37">
        <f ca="1"/>
        <v>0.81952256946153368</v>
      </c>
      <c r="BU51" s="37">
        <f ca="1"/>
        <v>0.82225193936759544</v>
      </c>
      <c r="BV51" s="37">
        <f ca="1"/>
        <v>0.82624510436696297</v>
      </c>
      <c r="BW51" s="37">
        <f ca="1"/>
        <v>0.83120970897514079</v>
      </c>
      <c r="BX51" s="37">
        <f ca="1"/>
        <v>0.83358959810860334</v>
      </c>
      <c r="BY51" s="37">
        <f ca="1"/>
        <v>0.83626469592803998</v>
      </c>
      <c r="BZ51" s="37">
        <f ca="1"/>
        <v>0.84092162439847407</v>
      </c>
      <c r="CA51" s="37">
        <f ca="1"/>
        <v>0.84307940326526787</v>
      </c>
      <c r="CB51" s="37">
        <f ca="1"/>
        <v>0.84651932824319254</v>
      </c>
      <c r="CC51" s="37">
        <f ca="1"/>
        <v>0.84986092755716525</v>
      </c>
      <c r="CD51" s="37">
        <f ca="1"/>
        <v>0.85333067534849227</v>
      </c>
      <c r="CE51" s="37">
        <f ca="1"/>
        <v>0.85673597565094206</v>
      </c>
      <c r="CF51" s="37">
        <f ca="1"/>
        <v>0.86058914261152353</v>
      </c>
      <c r="CG51" s="37">
        <f ca="1"/>
        <v>0.86477407370355264</v>
      </c>
      <c r="CH51" s="37">
        <f ca="1"/>
        <v>0.86817337373823178</v>
      </c>
      <c r="CI51" s="37">
        <f ca="1"/>
        <v>0.87310422985547109</v>
      </c>
      <c r="CJ51" s="37">
        <f ca="1"/>
        <v>0.87629792960845809</v>
      </c>
      <c r="CK51" s="37">
        <f ca="1"/>
        <v>0.8792881297218883</v>
      </c>
      <c r="CL51" s="37">
        <f ca="1"/>
        <v>0.88299507521815457</v>
      </c>
      <c r="CM51" s="37">
        <f ca="1"/>
        <v>0.88512501187947712</v>
      </c>
      <c r="CN51" s="37">
        <f ca="1"/>
        <v>0.88926731029252992</v>
      </c>
      <c r="CO51" s="37">
        <f ca="1"/>
        <v>0.89315232317529991</v>
      </c>
      <c r="CP51" s="37">
        <f ca="1"/>
        <v>0.89792276643892122</v>
      </c>
      <c r="CQ51" s="37">
        <f ca="1"/>
        <v>0.90177510729972565</v>
      </c>
      <c r="CR51" s="37">
        <f ca="1"/>
        <v>0.90486835947435507</v>
      </c>
      <c r="CS51" s="37">
        <f ca="1"/>
        <v>0.91020723537678327</v>
      </c>
      <c r="CT51" s="37">
        <f ca="1"/>
        <v>0.91514114081461007</v>
      </c>
      <c r="CU51" s="37">
        <f ca="1"/>
        <v>0.91936560169079751</v>
      </c>
      <c r="CV51" s="37">
        <f ca="1"/>
        <v>0.92382334973005076</v>
      </c>
      <c r="CW51" s="37">
        <f ca="1"/>
        <v>0.92646301601908931</v>
      </c>
      <c r="CX51" s="37">
        <f ca="1"/>
        <v>0.92914497978685784</v>
      </c>
      <c r="CY51" s="37">
        <f ca="1"/>
        <v>0.93169417793439369</v>
      </c>
      <c r="CZ51" s="37">
        <f ca="1"/>
        <v>0.93422812057260485</v>
      </c>
      <c r="DA51" s="37">
        <f ca="1"/>
        <v>0.93828294050119931</v>
      </c>
      <c r="DB51" s="37">
        <f ca="1"/>
        <v>0.9424619005830619</v>
      </c>
      <c r="DC51" s="37">
        <f ca="1"/>
        <v>0.94544138394896882</v>
      </c>
      <c r="DD51" s="37">
        <f ca="1"/>
        <v>0.94797701452831462</v>
      </c>
      <c r="DE51" s="37">
        <f ca="1"/>
        <v>0.95275586553161473</v>
      </c>
      <c r="DF51" s="37">
        <f ca="1"/>
        <v>0.95671249887656296</v>
      </c>
      <c r="DG51" s="37">
        <f ca="1"/>
        <v>0.96049973933546884</v>
      </c>
      <c r="DH51" s="37">
        <f ca="1"/>
        <v>0.96468159819616361</v>
      </c>
      <c r="DI51" s="37">
        <f ca="1"/>
        <v>0.96820764755651278</v>
      </c>
      <c r="DJ51" s="37">
        <f ca="1"/>
        <v>0.97177583659283873</v>
      </c>
      <c r="DK51" s="37">
        <f ca="1"/>
        <v>0.97503135537970331</v>
      </c>
      <c r="DL51" s="37">
        <f ca="1"/>
        <v>0.97908625957512285</v>
      </c>
      <c r="DM51" s="37">
        <f ca="1"/>
        <v>0.98310823649739676</v>
      </c>
      <c r="DN51" s="37">
        <f ca="1"/>
        <v>0.98725522654798159</v>
      </c>
      <c r="DO51" s="37">
        <f ca="1"/>
        <v>0.99149903464905953</v>
      </c>
      <c r="DP51" s="37">
        <f ca="1"/>
        <v>0.99573855043303083</v>
      </c>
      <c r="DQ51" s="37">
        <f ca="1"/>
        <v>1</v>
      </c>
    </row>
    <row r="52" spans="1:121" s="37" customFormat="1" x14ac:dyDescent="0.3">
      <c r="A52" s="37">
        <f ca="1"/>
        <v>0.64406656131390982</v>
      </c>
      <c r="B52" s="37">
        <f ca="1"/>
        <v>0.64405014552605322</v>
      </c>
      <c r="C52" s="37">
        <f ca="1"/>
        <v>0.6451745860631668</v>
      </c>
      <c r="D52" s="37">
        <f ca="1"/>
        <v>0.64608395636091331</v>
      </c>
      <c r="E52" s="37">
        <f ca="1"/>
        <v>0.64761411589173634</v>
      </c>
      <c r="F52" s="37">
        <f ca="1"/>
        <v>0.64994858975444236</v>
      </c>
      <c r="G52" s="37">
        <f ca="1"/>
        <v>0.65120180887676371</v>
      </c>
      <c r="H52" s="37">
        <f ca="1"/>
        <v>0.65223741010294289</v>
      </c>
      <c r="I52" s="37">
        <f ca="1"/>
        <v>0.65294189577179629</v>
      </c>
      <c r="J52" s="37">
        <f ca="1"/>
        <v>0.65501220531406923</v>
      </c>
      <c r="K52" s="37">
        <f ca="1"/>
        <v>0.65659763273155602</v>
      </c>
      <c r="L52" s="37">
        <f ca="1"/>
        <v>0.65805856751110103</v>
      </c>
      <c r="M52" s="37">
        <f ca="1"/>
        <v>0.65936428615497888</v>
      </c>
      <c r="N52" s="37">
        <f ca="1"/>
        <v>0.66159134067687986</v>
      </c>
      <c r="O52" s="37">
        <f ca="1"/>
        <v>0.66248883667451408</v>
      </c>
      <c r="P52" s="37">
        <f ca="1"/>
        <v>0.66382007100625195</v>
      </c>
      <c r="Q52" s="37">
        <f ca="1"/>
        <v>0.66556293473860406</v>
      </c>
      <c r="R52" s="37">
        <f ca="1"/>
        <v>0.66673840858540756</v>
      </c>
      <c r="S52" s="37">
        <f ca="1"/>
        <v>0.66964241823734094</v>
      </c>
      <c r="T52" s="37">
        <f ca="1"/>
        <v>0.67179813932895838</v>
      </c>
      <c r="U52" s="37">
        <f ca="1"/>
        <v>0.67439111981650668</v>
      </c>
      <c r="V52" s="37">
        <f ca="1"/>
        <v>0.67615428887830775</v>
      </c>
      <c r="W52" s="37">
        <f ca="1"/>
        <v>0.67796044442958925</v>
      </c>
      <c r="X52" s="37">
        <f ca="1"/>
        <v>0.68120725122415127</v>
      </c>
      <c r="Y52" s="37">
        <f ca="1"/>
        <v>0.68350952740688498</v>
      </c>
      <c r="Z52" s="37">
        <f ca="1"/>
        <v>0.68420006041723702</v>
      </c>
      <c r="AA52" s="37">
        <f ca="1"/>
        <v>0.68774713956648514</v>
      </c>
      <c r="AB52" s="37">
        <f ca="1"/>
        <v>0.69025197562128981</v>
      </c>
      <c r="AC52" s="37">
        <f ca="1"/>
        <v>0.69363539244944816</v>
      </c>
      <c r="AD52" s="37">
        <f ca="1"/>
        <v>0.69613966362424928</v>
      </c>
      <c r="AE52" s="37">
        <f ca="1"/>
        <v>0.69829430843031626</v>
      </c>
      <c r="AF52" s="37">
        <f ca="1"/>
        <v>0.70177549800129435</v>
      </c>
      <c r="AG52" s="37">
        <f ca="1"/>
        <v>0.70530554523701106</v>
      </c>
      <c r="AH52" s="37">
        <f ca="1"/>
        <v>0.70885675380401136</v>
      </c>
      <c r="AI52" s="37">
        <f ca="1"/>
        <v>0.71069189708048375</v>
      </c>
      <c r="AJ52" s="37">
        <f ca="1"/>
        <v>0.71311043136232155</v>
      </c>
      <c r="AK52" s="37">
        <f ca="1"/>
        <v>0.71559010342987128</v>
      </c>
      <c r="AL52" s="37">
        <f ca="1"/>
        <v>0.71780368080222445</v>
      </c>
      <c r="AM52" s="37">
        <f ca="1"/>
        <v>0.72117068763122227</v>
      </c>
      <c r="AN52" s="37">
        <f ca="1"/>
        <v>0.72333941700391524</v>
      </c>
      <c r="AO52" s="37">
        <f ca="1"/>
        <v>0.72653808737163084</v>
      </c>
      <c r="AP52" s="37">
        <f ca="1"/>
        <v>0.72898425902584274</v>
      </c>
      <c r="AQ52" s="37">
        <f ca="1"/>
        <v>0.73248587604121118</v>
      </c>
      <c r="AR52" s="37">
        <f ca="1"/>
        <v>0.73528061132620459</v>
      </c>
      <c r="AS52" s="37">
        <f ca="1"/>
        <v>0.73668506088700236</v>
      </c>
      <c r="AT52" s="37">
        <f ca="1"/>
        <v>0.73962842130039885</v>
      </c>
      <c r="AU52" s="37">
        <f ca="1"/>
        <v>0.74359665566865996</v>
      </c>
      <c r="AV52" s="37">
        <f ca="1"/>
        <v>0.74761067671089598</v>
      </c>
      <c r="AW52" s="37">
        <f ca="1"/>
        <v>0.75043683977112507</v>
      </c>
      <c r="AX52" s="37">
        <f ca="1"/>
        <v>0.75330369434058297</v>
      </c>
      <c r="AY52" s="37">
        <f ca="1"/>
        <v>0.75660125265019851</v>
      </c>
      <c r="AZ52" s="37">
        <f ca="1"/>
        <v>0.76019425442422706</v>
      </c>
      <c r="BA52" s="37">
        <f ca="1"/>
        <v>0.76223022124712025</v>
      </c>
      <c r="BB52" s="37">
        <f ca="1"/>
        <v>0.76406105426313486</v>
      </c>
      <c r="BC52" s="37">
        <f ca="1"/>
        <v>0.76707067795231543</v>
      </c>
      <c r="BD52" s="37">
        <f ca="1"/>
        <v>0.77194244665207434</v>
      </c>
      <c r="BE52" s="37">
        <f ca="1"/>
        <v>0.77500364144225808</v>
      </c>
      <c r="BF52" s="37">
        <f ca="1"/>
        <v>0.77893803627170421</v>
      </c>
      <c r="BG52" s="37">
        <f ca="1"/>
        <v>0.78216592841954358</v>
      </c>
      <c r="BH52" s="37">
        <f ca="1"/>
        <v>0.78473603615544218</v>
      </c>
      <c r="BI52" s="37">
        <f ca="1"/>
        <v>0.78656156342278172</v>
      </c>
      <c r="BJ52" s="37">
        <f ca="1"/>
        <v>0.79066620207335003</v>
      </c>
      <c r="BK52" s="37">
        <f ca="1"/>
        <v>0.7937355901280575</v>
      </c>
      <c r="BL52" s="37">
        <f ca="1"/>
        <v>0.79564772915797366</v>
      </c>
      <c r="BM52" s="37">
        <f ca="1"/>
        <v>0.79815936057068726</v>
      </c>
      <c r="BN52" s="37">
        <f ca="1"/>
        <v>0.79961468857694384</v>
      </c>
      <c r="BO52" s="37">
        <f ca="1"/>
        <v>0.80209368320340058</v>
      </c>
      <c r="BP52" s="37">
        <f ca="1"/>
        <v>0.80447560248926664</v>
      </c>
      <c r="BQ52" s="37">
        <f ca="1"/>
        <v>0.8091501405329421</v>
      </c>
      <c r="BR52" s="37">
        <f ca="1"/>
        <v>0.81219987042734354</v>
      </c>
      <c r="BS52" s="37">
        <f ca="1"/>
        <v>0.81644970025845054</v>
      </c>
      <c r="BT52" s="37">
        <f ca="1"/>
        <v>0.81990600454189111</v>
      </c>
      <c r="BU52" s="37">
        <f ca="1"/>
        <v>0.82260901801764108</v>
      </c>
      <c r="BV52" s="37">
        <f ca="1"/>
        <v>0.82524040651128483</v>
      </c>
      <c r="BW52" s="37">
        <f ca="1"/>
        <v>0.82742093851364318</v>
      </c>
      <c r="BX52" s="37">
        <f ca="1"/>
        <v>0.83061790642847544</v>
      </c>
      <c r="BY52" s="37">
        <f ca="1"/>
        <v>0.83344795935302352</v>
      </c>
      <c r="BZ52" s="37">
        <f ca="1"/>
        <v>0.83870673973306675</v>
      </c>
      <c r="CA52" s="37">
        <f ca="1"/>
        <v>0.84396953521867146</v>
      </c>
      <c r="CB52" s="37">
        <f ca="1"/>
        <v>0.84650129467674984</v>
      </c>
      <c r="CC52" s="37">
        <f ca="1"/>
        <v>0.84953620633785931</v>
      </c>
      <c r="CD52" s="37">
        <f ca="1"/>
        <v>0.85294485447053281</v>
      </c>
      <c r="CE52" s="37">
        <f ca="1"/>
        <v>0.85693849348095996</v>
      </c>
      <c r="CF52" s="37">
        <f ca="1"/>
        <v>0.86073630081549246</v>
      </c>
      <c r="CG52" s="37">
        <f ca="1"/>
        <v>0.86380155291423066</v>
      </c>
      <c r="CH52" s="37">
        <f ca="1"/>
        <v>0.8668609006599719</v>
      </c>
      <c r="CI52" s="37">
        <f ca="1"/>
        <v>0.8705450381183496</v>
      </c>
      <c r="CJ52" s="37">
        <f ca="1"/>
        <v>0.87334700512721763</v>
      </c>
      <c r="CK52" s="37">
        <f ca="1"/>
        <v>0.87688001477244204</v>
      </c>
      <c r="CL52" s="37">
        <f ca="1"/>
        <v>0.8807911407331841</v>
      </c>
      <c r="CM52" s="37">
        <f ca="1"/>
        <v>0.8852823711888923</v>
      </c>
      <c r="CN52" s="37">
        <f ca="1"/>
        <v>0.89043576797370294</v>
      </c>
      <c r="CO52" s="37">
        <f ca="1"/>
        <v>0.89436454564162071</v>
      </c>
      <c r="CP52" s="37">
        <f ca="1"/>
        <v>0.89697847487268501</v>
      </c>
      <c r="CQ52" s="37">
        <f ca="1"/>
        <v>0.89902688429109601</v>
      </c>
      <c r="CR52" s="37">
        <f ca="1"/>
        <v>0.90187181881538392</v>
      </c>
      <c r="CS52" s="37">
        <f ca="1"/>
        <v>0.90564978972764043</v>
      </c>
      <c r="CT52" s="37">
        <f ca="1"/>
        <v>0.9090290031061331</v>
      </c>
      <c r="CU52" s="37">
        <f ca="1"/>
        <v>0.91304681178892111</v>
      </c>
      <c r="CV52" s="37">
        <f ca="1"/>
        <v>0.91614322770068146</v>
      </c>
      <c r="CW52" s="37">
        <f ca="1"/>
        <v>0.91968736163612186</v>
      </c>
      <c r="CX52" s="37">
        <f ca="1"/>
        <v>0.92392063817609849</v>
      </c>
      <c r="CY52" s="37">
        <f ca="1"/>
        <v>0.92841486806815421</v>
      </c>
      <c r="CZ52" s="37">
        <f ca="1"/>
        <v>0.93186782519678091</v>
      </c>
      <c r="DA52" s="37">
        <f ca="1"/>
        <v>0.93462779543284291</v>
      </c>
      <c r="DB52" s="37">
        <f ca="1"/>
        <v>0.93910106491000289</v>
      </c>
      <c r="DC52" s="37">
        <f ca="1"/>
        <v>0.94290709919228777</v>
      </c>
      <c r="DD52" s="37">
        <f ca="1"/>
        <v>0.94687163958690934</v>
      </c>
      <c r="DE52" s="37">
        <f ca="1"/>
        <v>0.95131678664378161</v>
      </c>
      <c r="DF52" s="37">
        <f ca="1"/>
        <v>0.95560963940528532</v>
      </c>
      <c r="DG52" s="37">
        <f ca="1"/>
        <v>0.95950288267765627</v>
      </c>
      <c r="DH52" s="37">
        <f ca="1"/>
        <v>0.96347956588795958</v>
      </c>
      <c r="DI52" s="37">
        <f ca="1"/>
        <v>0.96813902170852006</v>
      </c>
      <c r="DJ52" s="37">
        <f ca="1"/>
        <v>0.97244243466749591</v>
      </c>
      <c r="DK52" s="37">
        <f ca="1"/>
        <v>0.97624635140415505</v>
      </c>
      <c r="DL52" s="37">
        <f ca="1"/>
        <v>0.98005074981179829</v>
      </c>
      <c r="DM52" s="37">
        <f ca="1"/>
        <v>0.98412839476485636</v>
      </c>
      <c r="DN52" s="37">
        <f ca="1"/>
        <v>0.98812477492365525</v>
      </c>
      <c r="DO52" s="37">
        <f ca="1"/>
        <v>0.99198629362824164</v>
      </c>
      <c r="DP52" s="37">
        <f ca="1"/>
        <v>0.99600461959898534</v>
      </c>
      <c r="DQ52" s="37">
        <f ca="1"/>
        <v>1</v>
      </c>
    </row>
    <row r="53" spans="1:121" s="37" customFormat="1" x14ac:dyDescent="0.3">
      <c r="A53" s="37">
        <f ca="1"/>
        <v>0.64406656131390982</v>
      </c>
      <c r="B53" s="37">
        <f ca="1"/>
        <v>0.64514202751496197</v>
      </c>
      <c r="C53" s="37">
        <f ca="1"/>
        <v>0.64684715405531756</v>
      </c>
      <c r="D53" s="37">
        <f ca="1"/>
        <v>0.64800627951409018</v>
      </c>
      <c r="E53" s="37">
        <f ca="1"/>
        <v>0.64904500971067269</v>
      </c>
      <c r="F53" s="37">
        <f ca="1"/>
        <v>0.65034898251512208</v>
      </c>
      <c r="G53" s="37">
        <f ca="1"/>
        <v>0.65086414455561581</v>
      </c>
      <c r="H53" s="37">
        <f ca="1"/>
        <v>0.65246822974520802</v>
      </c>
      <c r="I53" s="37">
        <f ca="1"/>
        <v>0.65493207380595309</v>
      </c>
      <c r="J53" s="37">
        <f ca="1"/>
        <v>0.65657229567007624</v>
      </c>
      <c r="K53" s="37">
        <f ca="1"/>
        <v>0.6574486930937864</v>
      </c>
      <c r="L53" s="37">
        <f ca="1"/>
        <v>0.65977495469986802</v>
      </c>
      <c r="M53" s="37">
        <f ca="1"/>
        <v>0.66129733123444223</v>
      </c>
      <c r="N53" s="37">
        <f ca="1"/>
        <v>0.6625383988060819</v>
      </c>
      <c r="O53" s="37">
        <f ca="1"/>
        <v>0.66314138898773245</v>
      </c>
      <c r="P53" s="37">
        <f ca="1"/>
        <v>0.66450982735592512</v>
      </c>
      <c r="Q53" s="37">
        <f ca="1"/>
        <v>0.66728000578483704</v>
      </c>
      <c r="R53" s="37">
        <f ca="1"/>
        <v>0.66860625566062382</v>
      </c>
      <c r="S53" s="37">
        <f ca="1"/>
        <v>0.67067198901157643</v>
      </c>
      <c r="T53" s="37">
        <f ca="1"/>
        <v>0.67194769738207527</v>
      </c>
      <c r="U53" s="37">
        <f ca="1"/>
        <v>0.67384618285321785</v>
      </c>
      <c r="V53" s="37">
        <f ca="1"/>
        <v>0.6760810179140464</v>
      </c>
      <c r="W53" s="37">
        <f ca="1"/>
        <v>0.67767125968261566</v>
      </c>
      <c r="X53" s="37">
        <f ca="1"/>
        <v>0.67789769122278232</v>
      </c>
      <c r="Y53" s="37">
        <f ca="1"/>
        <v>0.67939715170508264</v>
      </c>
      <c r="Z53" s="37">
        <f ca="1"/>
        <v>0.68029138426637481</v>
      </c>
      <c r="AA53" s="37">
        <f ca="1"/>
        <v>0.68397704262023806</v>
      </c>
      <c r="AB53" s="37">
        <f ca="1"/>
        <v>0.68667464585624749</v>
      </c>
      <c r="AC53" s="37">
        <f ca="1"/>
        <v>0.68762194147521949</v>
      </c>
      <c r="AD53" s="37">
        <f ca="1"/>
        <v>0.6902284511424378</v>
      </c>
      <c r="AE53" s="37">
        <f ca="1"/>
        <v>0.69130252878644227</v>
      </c>
      <c r="AF53" s="37">
        <f ca="1"/>
        <v>0.69377219589185168</v>
      </c>
      <c r="AG53" s="37">
        <f ca="1"/>
        <v>0.69836405086273201</v>
      </c>
      <c r="AH53" s="37">
        <f ca="1"/>
        <v>0.70082692574037575</v>
      </c>
      <c r="AI53" s="37">
        <f ca="1"/>
        <v>0.70464963837474903</v>
      </c>
      <c r="AJ53" s="37">
        <f ca="1"/>
        <v>0.70767957625285971</v>
      </c>
      <c r="AK53" s="37">
        <f ca="1"/>
        <v>0.71113433468558185</v>
      </c>
      <c r="AL53" s="37">
        <f ca="1"/>
        <v>0.71377442622499276</v>
      </c>
      <c r="AM53" s="37">
        <f ca="1"/>
        <v>0.71636659937131975</v>
      </c>
      <c r="AN53" s="37">
        <f ca="1"/>
        <v>0.71737678238838598</v>
      </c>
      <c r="AO53" s="37">
        <f ca="1"/>
        <v>0.72057784274155434</v>
      </c>
      <c r="AP53" s="37">
        <f ca="1"/>
        <v>0.72449015678291251</v>
      </c>
      <c r="AQ53" s="37">
        <f ca="1"/>
        <v>0.72730720532690885</v>
      </c>
      <c r="AR53" s="37">
        <f ca="1"/>
        <v>0.73113850591170515</v>
      </c>
      <c r="AS53" s="37">
        <f ca="1"/>
        <v>0.73368057894086303</v>
      </c>
      <c r="AT53" s="37">
        <f ca="1"/>
        <v>0.73619302880058457</v>
      </c>
      <c r="AU53" s="37">
        <f ca="1"/>
        <v>0.73936644317146816</v>
      </c>
      <c r="AV53" s="37">
        <f ca="1"/>
        <v>0.74229808862501179</v>
      </c>
      <c r="AW53" s="37">
        <f ca="1"/>
        <v>0.74626987251795251</v>
      </c>
      <c r="AX53" s="37">
        <f ca="1"/>
        <v>0.74911141800628767</v>
      </c>
      <c r="AY53" s="37">
        <f ca="1"/>
        <v>0.7532679859361372</v>
      </c>
      <c r="AZ53" s="37">
        <f ca="1"/>
        <v>0.75551010908454563</v>
      </c>
      <c r="BA53" s="37">
        <f ca="1"/>
        <v>0.75853702512920118</v>
      </c>
      <c r="BB53" s="37">
        <f ca="1"/>
        <v>0.75947036106009269</v>
      </c>
      <c r="BC53" s="37">
        <f ca="1"/>
        <v>0.76279354565154001</v>
      </c>
      <c r="BD53" s="37">
        <f ca="1"/>
        <v>0.76562530420901131</v>
      </c>
      <c r="BE53" s="37">
        <f ca="1"/>
        <v>0.76905701931888115</v>
      </c>
      <c r="BF53" s="37">
        <f ca="1"/>
        <v>0.77254272002621838</v>
      </c>
      <c r="BG53" s="37">
        <f ca="1"/>
        <v>0.77482775730315379</v>
      </c>
      <c r="BH53" s="37">
        <f ca="1"/>
        <v>0.77772573932562994</v>
      </c>
      <c r="BI53" s="37">
        <f ca="1"/>
        <v>0.77953293758353759</v>
      </c>
      <c r="BJ53" s="37">
        <f ca="1"/>
        <v>0.78267956264968175</v>
      </c>
      <c r="BK53" s="37">
        <f ca="1"/>
        <v>0.78656975844104693</v>
      </c>
      <c r="BL53" s="37">
        <f ca="1"/>
        <v>0.7889008077995836</v>
      </c>
      <c r="BM53" s="37">
        <f ca="1"/>
        <v>0.79287961049212252</v>
      </c>
      <c r="BN53" s="37">
        <f ca="1"/>
        <v>0.79811356016040647</v>
      </c>
      <c r="BO53" s="37">
        <f ca="1"/>
        <v>0.8013077136310166</v>
      </c>
      <c r="BP53" s="37">
        <f ca="1"/>
        <v>0.80387367866334802</v>
      </c>
      <c r="BQ53" s="37">
        <f ca="1"/>
        <v>0.80938879453936396</v>
      </c>
      <c r="BR53" s="37">
        <f ca="1"/>
        <v>0.81129211644331778</v>
      </c>
      <c r="BS53" s="37">
        <f ca="1"/>
        <v>0.81446555263395437</v>
      </c>
      <c r="BT53" s="37">
        <f ca="1"/>
        <v>0.81772639227272725</v>
      </c>
      <c r="BU53" s="37">
        <f ca="1"/>
        <v>0.82143828405962149</v>
      </c>
      <c r="BV53" s="37">
        <f ca="1"/>
        <v>0.82359662958328983</v>
      </c>
      <c r="BW53" s="37">
        <f ca="1"/>
        <v>0.82396011932435997</v>
      </c>
      <c r="BX53" s="37">
        <f ca="1"/>
        <v>0.82730136148619948</v>
      </c>
      <c r="BY53" s="37">
        <f ca="1"/>
        <v>0.83068942157628556</v>
      </c>
      <c r="BZ53" s="37">
        <f ca="1"/>
        <v>0.83376235767515328</v>
      </c>
      <c r="CA53" s="37">
        <f ca="1"/>
        <v>0.83656232132636987</v>
      </c>
      <c r="CB53" s="37">
        <f ca="1"/>
        <v>0.84118133292756747</v>
      </c>
      <c r="CC53" s="37">
        <f ca="1"/>
        <v>0.84396229185175531</v>
      </c>
      <c r="CD53" s="37">
        <f ca="1"/>
        <v>0.84564120730202696</v>
      </c>
      <c r="CE53" s="37">
        <f ca="1"/>
        <v>0.84825950170139131</v>
      </c>
      <c r="CF53" s="37">
        <f ca="1"/>
        <v>0.85175551326964816</v>
      </c>
      <c r="CG53" s="37">
        <f ca="1"/>
        <v>0.85560149359918514</v>
      </c>
      <c r="CH53" s="37">
        <f ca="1"/>
        <v>0.85912709135087906</v>
      </c>
      <c r="CI53" s="37">
        <f ca="1"/>
        <v>0.86273686127127269</v>
      </c>
      <c r="CJ53" s="37">
        <f ca="1"/>
        <v>0.86702918583981559</v>
      </c>
      <c r="CK53" s="37">
        <f ca="1"/>
        <v>0.87170971182711232</v>
      </c>
      <c r="CL53" s="37">
        <f ca="1"/>
        <v>0.87581513556965007</v>
      </c>
      <c r="CM53" s="37">
        <f ca="1"/>
        <v>0.87978015146108035</v>
      </c>
      <c r="CN53" s="37">
        <f ca="1"/>
        <v>0.88188841312795796</v>
      </c>
      <c r="CO53" s="37">
        <f ca="1"/>
        <v>0.88448924330792411</v>
      </c>
      <c r="CP53" s="37">
        <f ca="1"/>
        <v>0.88834028424018308</v>
      </c>
      <c r="CQ53" s="37">
        <f ca="1"/>
        <v>0.8929600061297216</v>
      </c>
      <c r="CR53" s="37">
        <f ca="1"/>
        <v>0.89654735119127593</v>
      </c>
      <c r="CS53" s="37">
        <f ca="1"/>
        <v>0.90031345693611409</v>
      </c>
      <c r="CT53" s="37">
        <f ca="1"/>
        <v>0.90436823805812916</v>
      </c>
      <c r="CU53" s="37">
        <f ca="1"/>
        <v>0.90824423576675095</v>
      </c>
      <c r="CV53" s="37">
        <f ca="1"/>
        <v>0.91332602796323636</v>
      </c>
      <c r="CW53" s="37">
        <f ca="1"/>
        <v>0.91640437374713901</v>
      </c>
      <c r="CX53" s="37">
        <f ca="1"/>
        <v>0.92067910377921625</v>
      </c>
      <c r="CY53" s="37">
        <f ca="1"/>
        <v>0.9247903393065956</v>
      </c>
      <c r="CZ53" s="37">
        <f ca="1"/>
        <v>0.92974170760941999</v>
      </c>
      <c r="DA53" s="37">
        <f ca="1"/>
        <v>0.93328490563391675</v>
      </c>
      <c r="DB53" s="37">
        <f ca="1"/>
        <v>0.93703482373531788</v>
      </c>
      <c r="DC53" s="37">
        <f ca="1"/>
        <v>0.94052245904204435</v>
      </c>
      <c r="DD53" s="37">
        <f ca="1"/>
        <v>0.94502697794894963</v>
      </c>
      <c r="DE53" s="37">
        <f ca="1"/>
        <v>0.94902001702969752</v>
      </c>
      <c r="DF53" s="37">
        <f ca="1"/>
        <v>0.95289662870450809</v>
      </c>
      <c r="DG53" s="37">
        <f ca="1"/>
        <v>0.95781601759088808</v>
      </c>
      <c r="DH53" s="37">
        <f ca="1"/>
        <v>0.96099459993103931</v>
      </c>
      <c r="DI53" s="37">
        <f ca="1"/>
        <v>0.96498033065214606</v>
      </c>
      <c r="DJ53" s="37">
        <f ca="1"/>
        <v>0.96944393744724544</v>
      </c>
      <c r="DK53" s="37">
        <f ca="1"/>
        <v>0.97413976321669815</v>
      </c>
      <c r="DL53" s="37">
        <f ca="1"/>
        <v>0.97883021910895474</v>
      </c>
      <c r="DM53" s="37">
        <f ca="1"/>
        <v>0.98300495704438939</v>
      </c>
      <c r="DN53" s="37">
        <f ca="1"/>
        <v>0.98720272342922177</v>
      </c>
      <c r="DO53" s="37">
        <f ca="1"/>
        <v>0.99145255772924212</v>
      </c>
      <c r="DP53" s="37">
        <f ca="1"/>
        <v>0.99561850552268294</v>
      </c>
      <c r="DQ53" s="37">
        <f ca="1"/>
        <v>1</v>
      </c>
    </row>
    <row r="54" spans="1:121" s="37" customFormat="1" x14ac:dyDescent="0.3">
      <c r="A54" s="37">
        <f ca="1"/>
        <v>0.64406656131390982</v>
      </c>
      <c r="B54" s="37">
        <f ca="1"/>
        <v>0.64544115994903217</v>
      </c>
      <c r="C54" s="37">
        <f ca="1"/>
        <v>0.64638611597748152</v>
      </c>
      <c r="D54" s="37">
        <f ca="1"/>
        <v>0.64775115036971809</v>
      </c>
      <c r="E54" s="37">
        <f ca="1"/>
        <v>0.64930467100892575</v>
      </c>
      <c r="F54" s="37">
        <f ca="1"/>
        <v>0.65040395509526672</v>
      </c>
      <c r="G54" s="37">
        <f ca="1"/>
        <v>0.65266777857153457</v>
      </c>
      <c r="H54" s="37">
        <f ca="1"/>
        <v>0.65468768630008911</v>
      </c>
      <c r="I54" s="37">
        <f ca="1"/>
        <v>0.65626780949321761</v>
      </c>
      <c r="J54" s="37">
        <f ca="1"/>
        <v>0.65864199896721498</v>
      </c>
      <c r="K54" s="37">
        <f ca="1"/>
        <v>0.6599891667586526</v>
      </c>
      <c r="L54" s="37">
        <f ca="1"/>
        <v>0.66115858911616232</v>
      </c>
      <c r="M54" s="37">
        <f ca="1"/>
        <v>0.66244307728165353</v>
      </c>
      <c r="N54" s="37">
        <f ca="1"/>
        <v>0.66471036319002863</v>
      </c>
      <c r="O54" s="37">
        <f ca="1"/>
        <v>0.66604277387015198</v>
      </c>
      <c r="P54" s="37">
        <f ca="1"/>
        <v>0.66832134796101994</v>
      </c>
      <c r="Q54" s="37">
        <f ca="1"/>
        <v>0.67069437331097781</v>
      </c>
      <c r="R54" s="37">
        <f ca="1"/>
        <v>0.67291074211528812</v>
      </c>
      <c r="S54" s="37">
        <f ca="1"/>
        <v>0.67480246503852082</v>
      </c>
      <c r="T54" s="37">
        <f ca="1"/>
        <v>0.67677292200464489</v>
      </c>
      <c r="U54" s="37">
        <f ca="1"/>
        <v>0.67872625250921326</v>
      </c>
      <c r="V54" s="37">
        <f ca="1"/>
        <v>0.68122675367336138</v>
      </c>
      <c r="W54" s="37">
        <f ca="1"/>
        <v>0.68271543428327364</v>
      </c>
      <c r="X54" s="37">
        <f ca="1"/>
        <v>0.68531495367464612</v>
      </c>
      <c r="Y54" s="37">
        <f ca="1"/>
        <v>0.68854164527001305</v>
      </c>
      <c r="Z54" s="37">
        <f ca="1"/>
        <v>0.69191723421466644</v>
      </c>
      <c r="AA54" s="37">
        <f ca="1"/>
        <v>0.69331522407049839</v>
      </c>
      <c r="AB54" s="37">
        <f ca="1"/>
        <v>0.6960304225948597</v>
      </c>
      <c r="AC54" s="37">
        <f ca="1"/>
        <v>0.69905145564796034</v>
      </c>
      <c r="AD54" s="37">
        <f ca="1"/>
        <v>0.70253791773844965</v>
      </c>
      <c r="AE54" s="37">
        <f ca="1"/>
        <v>0.70450058133490734</v>
      </c>
      <c r="AF54" s="37">
        <f ca="1"/>
        <v>0.70733637280773021</v>
      </c>
      <c r="AG54" s="37">
        <f ca="1"/>
        <v>0.71058074345508393</v>
      </c>
      <c r="AH54" s="37">
        <f ca="1"/>
        <v>0.71307958421358031</v>
      </c>
      <c r="AI54" s="37">
        <f ca="1"/>
        <v>0.716150391891066</v>
      </c>
      <c r="AJ54" s="37">
        <f ca="1"/>
        <v>0.7187365447945091</v>
      </c>
      <c r="AK54" s="37">
        <f ca="1"/>
        <v>0.72005333035118391</v>
      </c>
      <c r="AL54" s="37">
        <f ca="1"/>
        <v>0.72119345938812018</v>
      </c>
      <c r="AM54" s="37">
        <f ca="1"/>
        <v>0.72250656541050329</v>
      </c>
      <c r="AN54" s="37">
        <f ca="1"/>
        <v>0.7244202685565001</v>
      </c>
      <c r="AO54" s="37">
        <f ca="1"/>
        <v>0.72679307125089065</v>
      </c>
      <c r="AP54" s="37">
        <f ca="1"/>
        <v>0.729660042628266</v>
      </c>
      <c r="AQ54" s="37">
        <f ca="1"/>
        <v>0.73214060905047196</v>
      </c>
      <c r="AR54" s="37">
        <f ca="1"/>
        <v>0.73371731052593214</v>
      </c>
      <c r="AS54" s="37">
        <f ca="1"/>
        <v>0.73696786083715349</v>
      </c>
      <c r="AT54" s="37">
        <f ca="1"/>
        <v>0.73980681221427624</v>
      </c>
      <c r="AU54" s="37">
        <f ca="1"/>
        <v>0.74086046551704499</v>
      </c>
      <c r="AV54" s="37">
        <f ca="1"/>
        <v>0.74503977019130396</v>
      </c>
      <c r="AW54" s="37">
        <f ca="1"/>
        <v>0.74804943048453121</v>
      </c>
      <c r="AX54" s="37">
        <f ca="1"/>
        <v>0.75072265349303791</v>
      </c>
      <c r="AY54" s="37">
        <f ca="1"/>
        <v>0.7521750394886465</v>
      </c>
      <c r="AZ54" s="37">
        <f ca="1"/>
        <v>0.7546583558307679</v>
      </c>
      <c r="BA54" s="37">
        <f ca="1"/>
        <v>0.75901244344526142</v>
      </c>
      <c r="BB54" s="37">
        <f ca="1"/>
        <v>0.76066716967185088</v>
      </c>
      <c r="BC54" s="37">
        <f ca="1"/>
        <v>0.76122769668585621</v>
      </c>
      <c r="BD54" s="37">
        <f ca="1"/>
        <v>0.76446333276488754</v>
      </c>
      <c r="BE54" s="37">
        <f ca="1"/>
        <v>0.76720739029539897</v>
      </c>
      <c r="BF54" s="37">
        <f ca="1"/>
        <v>0.77107933091362146</v>
      </c>
      <c r="BG54" s="37">
        <f ca="1"/>
        <v>0.77458024432071426</v>
      </c>
      <c r="BH54" s="37">
        <f ca="1"/>
        <v>0.77782179992502809</v>
      </c>
      <c r="BI54" s="37">
        <f ca="1"/>
        <v>0.77971292750305476</v>
      </c>
      <c r="BJ54" s="37">
        <f ca="1"/>
        <v>0.78394021712444739</v>
      </c>
      <c r="BK54" s="37">
        <f ca="1"/>
        <v>0.7880031647635497</v>
      </c>
      <c r="BL54" s="37">
        <f ca="1"/>
        <v>0.79188012605333746</v>
      </c>
      <c r="BM54" s="37">
        <f ca="1"/>
        <v>0.79563004631711098</v>
      </c>
      <c r="BN54" s="37">
        <f ca="1"/>
        <v>0.8000208709160409</v>
      </c>
      <c r="BO54" s="37">
        <f ca="1"/>
        <v>0.80386805894358238</v>
      </c>
      <c r="BP54" s="37">
        <f ca="1"/>
        <v>0.80717211462542116</v>
      </c>
      <c r="BQ54" s="37">
        <f ca="1"/>
        <v>0.81031061822836548</v>
      </c>
      <c r="BR54" s="37">
        <f ca="1"/>
        <v>0.8137515214027804</v>
      </c>
      <c r="BS54" s="37">
        <f ca="1"/>
        <v>0.81491288663112205</v>
      </c>
      <c r="BT54" s="37">
        <f ca="1"/>
        <v>0.81710135903151893</v>
      </c>
      <c r="BU54" s="37">
        <f ca="1"/>
        <v>0.82019314231335838</v>
      </c>
      <c r="BV54" s="37">
        <f ca="1"/>
        <v>0.82312207953432481</v>
      </c>
      <c r="BW54" s="37">
        <f ca="1"/>
        <v>0.82604576363841042</v>
      </c>
      <c r="BX54" s="37">
        <f ca="1"/>
        <v>0.83107147130597658</v>
      </c>
      <c r="BY54" s="37">
        <f ca="1"/>
        <v>0.83453155183537531</v>
      </c>
      <c r="BZ54" s="37">
        <f ca="1"/>
        <v>0.83851421205732313</v>
      </c>
      <c r="CA54" s="37">
        <f ca="1"/>
        <v>0.84131313889729886</v>
      </c>
      <c r="CB54" s="37">
        <f ca="1"/>
        <v>0.84293675829115511</v>
      </c>
      <c r="CC54" s="37">
        <f ca="1"/>
        <v>0.84511449289328766</v>
      </c>
      <c r="CD54" s="37">
        <f ca="1"/>
        <v>0.84733544464040822</v>
      </c>
      <c r="CE54" s="37">
        <f ca="1"/>
        <v>0.85174326619394336</v>
      </c>
      <c r="CF54" s="37">
        <f ca="1"/>
        <v>0.85366998795439719</v>
      </c>
      <c r="CG54" s="37">
        <f ca="1"/>
        <v>0.85683588956465451</v>
      </c>
      <c r="CH54" s="37">
        <f ca="1"/>
        <v>0.85985743088053368</v>
      </c>
      <c r="CI54" s="37">
        <f ca="1"/>
        <v>0.86398631028871353</v>
      </c>
      <c r="CJ54" s="37">
        <f ca="1"/>
        <v>0.86866838287314052</v>
      </c>
      <c r="CK54" s="37">
        <f ca="1"/>
        <v>0.87236730248659267</v>
      </c>
      <c r="CL54" s="37">
        <f ca="1"/>
        <v>0.87551149902212377</v>
      </c>
      <c r="CM54" s="37">
        <f ca="1"/>
        <v>0.88050715385062095</v>
      </c>
      <c r="CN54" s="37">
        <f ca="1"/>
        <v>0.88401538174411909</v>
      </c>
      <c r="CO54" s="37">
        <f ca="1"/>
        <v>0.88793998022353759</v>
      </c>
      <c r="CP54" s="37">
        <f ca="1"/>
        <v>0.89122509787938486</v>
      </c>
      <c r="CQ54" s="37">
        <f ca="1"/>
        <v>0.89547273162833074</v>
      </c>
      <c r="CR54" s="37">
        <f ca="1"/>
        <v>0.89924580531971021</v>
      </c>
      <c r="CS54" s="37">
        <f ca="1"/>
        <v>0.90222542949509488</v>
      </c>
      <c r="CT54" s="37">
        <f ca="1"/>
        <v>0.90609747993171685</v>
      </c>
      <c r="CU54" s="37">
        <f ca="1"/>
        <v>0.90929561868718056</v>
      </c>
      <c r="CV54" s="37">
        <f ca="1"/>
        <v>0.91271039583219737</v>
      </c>
      <c r="CW54" s="37">
        <f ca="1"/>
        <v>0.91703440273137093</v>
      </c>
      <c r="CX54" s="37">
        <f ca="1"/>
        <v>0.92157447380926949</v>
      </c>
      <c r="CY54" s="37">
        <f ca="1"/>
        <v>0.92494725648946141</v>
      </c>
      <c r="CZ54" s="37">
        <f ca="1"/>
        <v>0.92828169049581777</v>
      </c>
      <c r="DA54" s="37">
        <f ca="1"/>
        <v>0.93257310176400898</v>
      </c>
      <c r="DB54" s="37">
        <f ca="1"/>
        <v>0.93718340105554565</v>
      </c>
      <c r="DC54" s="37">
        <f ca="1"/>
        <v>0.94052514650874286</v>
      </c>
      <c r="DD54" s="37">
        <f ca="1"/>
        <v>0.94456698329895106</v>
      </c>
      <c r="DE54" s="37">
        <f ca="1"/>
        <v>0.94895987095348244</v>
      </c>
      <c r="DF54" s="37">
        <f ca="1"/>
        <v>0.95334898864729523</v>
      </c>
      <c r="DG54" s="37">
        <f ca="1"/>
        <v>0.95819965098633242</v>
      </c>
      <c r="DH54" s="37">
        <f ca="1"/>
        <v>0.96186269804284752</v>
      </c>
      <c r="DI54" s="37">
        <f ca="1"/>
        <v>0.96655830543219279</v>
      </c>
      <c r="DJ54" s="37">
        <f ca="1"/>
        <v>0.97059244073332518</v>
      </c>
      <c r="DK54" s="37">
        <f ca="1"/>
        <v>0.97465785681260719</v>
      </c>
      <c r="DL54" s="37">
        <f ca="1"/>
        <v>0.97863637186889951</v>
      </c>
      <c r="DM54" s="37">
        <f ca="1"/>
        <v>0.98270824090775299</v>
      </c>
      <c r="DN54" s="37">
        <f ca="1"/>
        <v>0.98696129834701762</v>
      </c>
      <c r="DO54" s="37">
        <f ca="1"/>
        <v>0.99138878213357462</v>
      </c>
      <c r="DP54" s="37">
        <f ca="1"/>
        <v>0.9956833845850237</v>
      </c>
      <c r="DQ54" s="37">
        <f ca="1"/>
        <v>1</v>
      </c>
    </row>
    <row r="55" spans="1:121" s="37" customFormat="1" x14ac:dyDescent="0.3">
      <c r="A55" s="37">
        <f ca="1"/>
        <v>0.64406656131390982</v>
      </c>
      <c r="B55" s="37">
        <f ca="1"/>
        <v>0.645157861029938</v>
      </c>
      <c r="C55" s="37">
        <f ca="1"/>
        <v>0.64576755416847231</v>
      </c>
      <c r="D55" s="37">
        <f ca="1"/>
        <v>0.64645970274840614</v>
      </c>
      <c r="E55" s="37">
        <f ca="1"/>
        <v>0.64784493162232104</v>
      </c>
      <c r="F55" s="37">
        <f ca="1"/>
        <v>0.64997393543531579</v>
      </c>
      <c r="G55" s="37">
        <f ca="1"/>
        <v>0.6508375333352111</v>
      </c>
      <c r="H55" s="37">
        <f ca="1"/>
        <v>0.65244954332302219</v>
      </c>
      <c r="I55" s="37">
        <f ca="1"/>
        <v>0.65425879966207789</v>
      </c>
      <c r="J55" s="37">
        <f ca="1"/>
        <v>0.65558925908100985</v>
      </c>
      <c r="K55" s="37">
        <f ca="1"/>
        <v>0.65838810629977484</v>
      </c>
      <c r="L55" s="37">
        <f ca="1"/>
        <v>0.65936119022024908</v>
      </c>
      <c r="M55" s="37">
        <f ca="1"/>
        <v>0.66190972322354036</v>
      </c>
      <c r="N55" s="37">
        <f ca="1"/>
        <v>0.66236356727325463</v>
      </c>
      <c r="O55" s="37">
        <f ca="1"/>
        <v>0.6654864024210676</v>
      </c>
      <c r="P55" s="37">
        <f ca="1"/>
        <v>0.66731938875505914</v>
      </c>
      <c r="Q55" s="37">
        <f ca="1"/>
        <v>0.66973357234597486</v>
      </c>
      <c r="R55" s="37">
        <f ca="1"/>
        <v>0.67184796145247849</v>
      </c>
      <c r="S55" s="37">
        <f ca="1"/>
        <v>0.67313885339084212</v>
      </c>
      <c r="T55" s="37">
        <f ca="1"/>
        <v>0.67480968038784228</v>
      </c>
      <c r="U55" s="37">
        <f ca="1"/>
        <v>0.67807024984765429</v>
      </c>
      <c r="V55" s="37">
        <f ca="1"/>
        <v>0.68005717564092139</v>
      </c>
      <c r="W55" s="37">
        <f ca="1"/>
        <v>0.68138596155420328</v>
      </c>
      <c r="X55" s="37">
        <f ca="1"/>
        <v>0.6837159491231507</v>
      </c>
      <c r="Y55" s="37">
        <f ca="1"/>
        <v>0.68607560444780558</v>
      </c>
      <c r="Z55" s="37">
        <f ca="1"/>
        <v>0.68850367826228909</v>
      </c>
      <c r="AA55" s="37">
        <f ca="1"/>
        <v>0.69020335527594578</v>
      </c>
      <c r="AB55" s="37">
        <f ca="1"/>
        <v>0.69262859334843097</v>
      </c>
      <c r="AC55" s="37">
        <f ca="1"/>
        <v>0.69459722635437926</v>
      </c>
      <c r="AD55" s="37">
        <f ca="1"/>
        <v>0.69730132620603424</v>
      </c>
      <c r="AE55" s="37">
        <f ca="1"/>
        <v>0.69853148720933478</v>
      </c>
      <c r="AF55" s="37">
        <f ca="1"/>
        <v>0.70242320494672605</v>
      </c>
      <c r="AG55" s="37">
        <f ca="1"/>
        <v>0.70560588993797535</v>
      </c>
      <c r="AH55" s="37">
        <f ca="1"/>
        <v>0.70834013904149229</v>
      </c>
      <c r="AI55" s="37">
        <f ca="1"/>
        <v>0.71076244436130542</v>
      </c>
      <c r="AJ55" s="37">
        <f ca="1"/>
        <v>0.71303313204264651</v>
      </c>
      <c r="AK55" s="37">
        <f ca="1"/>
        <v>0.7152688742524973</v>
      </c>
      <c r="AL55" s="37">
        <f ca="1"/>
        <v>0.71544120015752699</v>
      </c>
      <c r="AM55" s="37">
        <f ca="1"/>
        <v>0.71942044998544263</v>
      </c>
      <c r="AN55" s="37">
        <f ca="1"/>
        <v>0.72209307242179155</v>
      </c>
      <c r="AO55" s="37">
        <f ca="1"/>
        <v>0.72484482994527133</v>
      </c>
      <c r="AP55" s="37">
        <f ca="1"/>
        <v>0.72627007069210325</v>
      </c>
      <c r="AQ55" s="37">
        <f ca="1"/>
        <v>0.72851204714031537</v>
      </c>
      <c r="AR55" s="37">
        <f ca="1"/>
        <v>0.73150499865202756</v>
      </c>
      <c r="AS55" s="37">
        <f ca="1"/>
        <v>0.73311160913639772</v>
      </c>
      <c r="AT55" s="37">
        <f ca="1"/>
        <v>0.73559478397404165</v>
      </c>
      <c r="AU55" s="37">
        <f ca="1"/>
        <v>0.73757059549711601</v>
      </c>
      <c r="AV55" s="37">
        <f ca="1"/>
        <v>0.74149689387012752</v>
      </c>
      <c r="AW55" s="37">
        <f ca="1"/>
        <v>0.74286706811976111</v>
      </c>
      <c r="AX55" s="37">
        <f ca="1"/>
        <v>0.74508911091724928</v>
      </c>
      <c r="AY55" s="37">
        <f ca="1"/>
        <v>0.74595762298509516</v>
      </c>
      <c r="AZ55" s="37">
        <f ca="1"/>
        <v>0.74721151181401513</v>
      </c>
      <c r="BA55" s="37">
        <f ca="1"/>
        <v>0.75164437037438936</v>
      </c>
      <c r="BB55" s="37">
        <f ca="1"/>
        <v>0.7542189912642745</v>
      </c>
      <c r="BC55" s="37">
        <f ca="1"/>
        <v>0.7577471238289557</v>
      </c>
      <c r="BD55" s="37">
        <f ca="1"/>
        <v>0.76141565277951373</v>
      </c>
      <c r="BE55" s="37">
        <f ca="1"/>
        <v>0.76620039176721155</v>
      </c>
      <c r="BF55" s="37">
        <f ca="1"/>
        <v>0.77009352838368472</v>
      </c>
      <c r="BG55" s="37">
        <f ca="1"/>
        <v>0.77501446510994909</v>
      </c>
      <c r="BH55" s="37">
        <f ca="1"/>
        <v>0.77770536638993348</v>
      </c>
      <c r="BI55" s="37">
        <f ca="1"/>
        <v>0.77954307127025702</v>
      </c>
      <c r="BJ55" s="37">
        <f ca="1"/>
        <v>0.78265399680114911</v>
      </c>
      <c r="BK55" s="37">
        <f ca="1"/>
        <v>0.78606276640202799</v>
      </c>
      <c r="BL55" s="37">
        <f ca="1"/>
        <v>0.78968020839216746</v>
      </c>
      <c r="BM55" s="37">
        <f ca="1"/>
        <v>0.79322384869363882</v>
      </c>
      <c r="BN55" s="37">
        <f ca="1"/>
        <v>0.79764870349926076</v>
      </c>
      <c r="BO55" s="37">
        <f ca="1"/>
        <v>0.80098802344902464</v>
      </c>
      <c r="BP55" s="37">
        <f ca="1"/>
        <v>0.80332593895934445</v>
      </c>
      <c r="BQ55" s="37">
        <f ca="1"/>
        <v>0.80667037272950559</v>
      </c>
      <c r="BR55" s="37">
        <f ca="1"/>
        <v>0.81003274264712699</v>
      </c>
      <c r="BS55" s="37">
        <f ca="1"/>
        <v>0.81251105589305617</v>
      </c>
      <c r="BT55" s="37">
        <f ca="1"/>
        <v>0.81623098707063013</v>
      </c>
      <c r="BU55" s="37">
        <f ca="1"/>
        <v>0.82024030139219217</v>
      </c>
      <c r="BV55" s="37">
        <f ca="1"/>
        <v>0.82478302766974232</v>
      </c>
      <c r="BW55" s="37">
        <f ca="1"/>
        <v>0.82895112188664888</v>
      </c>
      <c r="BX55" s="37">
        <f ca="1"/>
        <v>0.83206494716795987</v>
      </c>
      <c r="BY55" s="37">
        <f ca="1"/>
        <v>0.83589117794300283</v>
      </c>
      <c r="BZ55" s="37">
        <f ca="1"/>
        <v>0.84074460175535082</v>
      </c>
      <c r="CA55" s="37">
        <f ca="1"/>
        <v>0.84473498502183642</v>
      </c>
      <c r="CB55" s="37">
        <f ca="1"/>
        <v>0.84750031172486917</v>
      </c>
      <c r="CC55" s="37">
        <f ca="1"/>
        <v>0.85058242903723391</v>
      </c>
      <c r="CD55" s="37">
        <f ca="1"/>
        <v>0.85423825503476603</v>
      </c>
      <c r="CE55" s="37">
        <f ca="1"/>
        <v>0.85841229670703001</v>
      </c>
      <c r="CF55" s="37">
        <f ca="1"/>
        <v>0.86278673784175375</v>
      </c>
      <c r="CG55" s="37">
        <f ca="1"/>
        <v>0.86618543473555032</v>
      </c>
      <c r="CH55" s="37">
        <f ca="1"/>
        <v>0.86968463869318346</v>
      </c>
      <c r="CI55" s="37">
        <f ca="1"/>
        <v>0.87365325515001424</v>
      </c>
      <c r="CJ55" s="37">
        <f ca="1"/>
        <v>0.87723234152601559</v>
      </c>
      <c r="CK55" s="37">
        <f ca="1"/>
        <v>0.88030132285447937</v>
      </c>
      <c r="CL55" s="37">
        <f ca="1"/>
        <v>0.88275489249484551</v>
      </c>
      <c r="CM55" s="37">
        <f ca="1"/>
        <v>0.88634765021637119</v>
      </c>
      <c r="CN55" s="37">
        <f ca="1"/>
        <v>0.89001529022830472</v>
      </c>
      <c r="CO55" s="37">
        <f ca="1"/>
        <v>0.89311205221795198</v>
      </c>
      <c r="CP55" s="37">
        <f ca="1"/>
        <v>0.89586568700001534</v>
      </c>
      <c r="CQ55" s="37">
        <f ca="1"/>
        <v>0.9001936283258748</v>
      </c>
      <c r="CR55" s="37">
        <f ca="1"/>
        <v>0.90488809109561363</v>
      </c>
      <c r="CS55" s="37">
        <f ca="1"/>
        <v>0.9086931372362691</v>
      </c>
      <c r="CT55" s="37">
        <f ca="1"/>
        <v>0.9116509738236519</v>
      </c>
      <c r="CU55" s="37">
        <f ca="1"/>
        <v>0.91618032956823314</v>
      </c>
      <c r="CV55" s="37">
        <f ca="1"/>
        <v>0.91917875066331989</v>
      </c>
      <c r="CW55" s="37">
        <f ca="1"/>
        <v>0.92302213595409466</v>
      </c>
      <c r="CX55" s="37">
        <f ca="1"/>
        <v>0.92569912022894763</v>
      </c>
      <c r="CY55" s="37">
        <f ca="1"/>
        <v>0.9294537468312295</v>
      </c>
      <c r="CZ55" s="37">
        <f ca="1"/>
        <v>0.93287139410784159</v>
      </c>
      <c r="DA55" s="37">
        <f ca="1"/>
        <v>0.93628257731247144</v>
      </c>
      <c r="DB55" s="37">
        <f ca="1"/>
        <v>0.94052639600699461</v>
      </c>
      <c r="DC55" s="37">
        <f ca="1"/>
        <v>0.94434903472742981</v>
      </c>
      <c r="DD55" s="37">
        <f ca="1"/>
        <v>0.94879332371597314</v>
      </c>
      <c r="DE55" s="37">
        <f ca="1"/>
        <v>0.95271616950308358</v>
      </c>
      <c r="DF55" s="37">
        <f ca="1"/>
        <v>0.95687429941425484</v>
      </c>
      <c r="DG55" s="37">
        <f ca="1"/>
        <v>0.96026912225634409</v>
      </c>
      <c r="DH55" s="37">
        <f ca="1"/>
        <v>0.96410448362734447</v>
      </c>
      <c r="DI55" s="37">
        <f ca="1"/>
        <v>0.96764121071555698</v>
      </c>
      <c r="DJ55" s="37">
        <f ca="1"/>
        <v>0.97148914995632496</v>
      </c>
      <c r="DK55" s="37">
        <f ca="1"/>
        <v>0.97536247385515806</v>
      </c>
      <c r="DL55" s="37">
        <f ca="1"/>
        <v>0.97978108295854816</v>
      </c>
      <c r="DM55" s="37">
        <f ca="1"/>
        <v>0.98345471487005764</v>
      </c>
      <c r="DN55" s="37">
        <f ca="1"/>
        <v>0.98759511191986893</v>
      </c>
      <c r="DO55" s="37">
        <f ca="1"/>
        <v>0.9918845950334696</v>
      </c>
      <c r="DP55" s="37">
        <f ca="1"/>
        <v>0.99590556832485022</v>
      </c>
      <c r="DQ55" s="37">
        <f ca="1"/>
        <v>1</v>
      </c>
    </row>
    <row r="56" spans="1:121" s="37" customFormat="1" x14ac:dyDescent="0.3"/>
    <row r="57" spans="1:121" s="37" customFormat="1" x14ac:dyDescent="0.3"/>
    <row r="58" spans="1:121" s="37" customFormat="1" x14ac:dyDescent="0.3"/>
    <row r="59" spans="1:121" s="37" customFormat="1" x14ac:dyDescent="0.3"/>
    <row r="60" spans="1:121" s="37" customFormat="1" x14ac:dyDescent="0.3"/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Unsmooth</vt:lpstr>
      <vt:lpstr>Carino</vt:lpstr>
      <vt:lpstr>Frongello</vt:lpstr>
      <vt:lpstr>CIR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Cheung Cheng</dc:creator>
  <cp:lastModifiedBy>Kai Cheung Cheng</cp:lastModifiedBy>
  <dcterms:created xsi:type="dcterms:W3CDTF">2026-01-17T01:03:49Z</dcterms:created>
  <dcterms:modified xsi:type="dcterms:W3CDTF">2026-01-31T02:04:02Z</dcterms:modified>
</cp:coreProperties>
</file>