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c111\Dev\ftk-excel\"/>
    </mc:Choice>
  </mc:AlternateContent>
  <xr:revisionPtr revIDLastSave="0" documentId="13_ncr:1_{820EAFA0-6853-412C-B963-F580E97A8070}" xr6:coauthVersionLast="47" xr6:coauthVersionMax="47" xr10:uidLastSave="{00000000-0000-0000-0000-000000000000}"/>
  <bookViews>
    <workbookView xWindow="18600" yWindow="1212" windowWidth="20640" windowHeight="14496" activeTab="2" xr2:uid="{00000000-000D-0000-FFFF-FFFF00000000}"/>
  </bookViews>
  <sheets>
    <sheet name="Formulas" sheetId="1" r:id="rId1"/>
    <sheet name="Data" sheetId="2" r:id="rId2"/>
    <sheet name="Test" sheetId="3" r:id="rId3"/>
  </sheets>
  <definedNames>
    <definedName name="_xlcn.WorksheetConnection_ftk.xlsxTable2" hidden="1">Table2[]</definedName>
    <definedName name="Alpha">_xlfn.LAMBDA(_xlpm.ts,(1+INTERCEPT(_xlfn.CHOOSECOLS(_xlpm.ts,1),_xlfn.CHOOSECOLS(_xlpm.ts,2)))^12-1)</definedName>
    <definedName name="ANNRET">_xlfn.LAMBDA(_xlpm.ts,GEOMEAN(1+_xlpm.ts)^12-1)</definedName>
    <definedName name="AVGNEG">_xlfn.LAMBDA(_xlpm.ts,AVERAGEIF(_xlpm.ts,"&lt;0") )</definedName>
    <definedName name="AVGPOS">_xlfn.LAMBDA(_xlpm.ts,AVERAGEIF(_xlpm.ts,"&gt;0") )</definedName>
    <definedName name="AVGRET">_xlfn.LAMBDA(_xlpm.ts,AVERAGE(_xlpm.ts) )</definedName>
    <definedName name="Benchmark">Data!$C$2:$C$120</definedName>
    <definedName name="BESTPERIOD">_xlfn.LAMBDA(_xlpm.ts, MAX(_xlpm.ts) )</definedName>
    <definedName name="Beta">_xlfn.LAMBDA(_xlpm.ts,SLOPE(_xlfn.CHOOSECOLS(_xlpm.ts,1),_xlfn.CHOOSECOLS(_xlpm.ts,2)))</definedName>
    <definedName name="CalendarYear">_xlfn.LAMBDA(_xlpm.ts,_xlpm.dates,_xlpm.func,     _xlfn.LET(         _xlpm.start, MIN(YEAR(_xlpm.dates)),         _xlpm.end, MAX(YEAR(_xlpm.dates)),         _xlpm.years, _xlfn.SEQUENCE(_xlpm.end - _xlpm.start + 1,, _xlpm.start),         _xlfn.HSTACK(             _xlpm.years,             _xlfn.MAP(_xlpm.years,                 _xlfn.LAMBDA(_xlpm.y,                     _xlfn.LET(                         _xlpm.n, _xlfn.SEQUENCE(ROWS(_xlpm.ts)),                         _xlpm.d, IF(YEAR(_xlpm.dates) = _xlpm.y, _xlpm.n, 0),                         _xlpm.func(_xlfn.CHOOSEROWS(_xlpm.ts, _xlfn._xlws.FILTER(_xlpm.d, _xlpm.d &gt; 0)))                     )                 )             )         )     ) )</definedName>
    <definedName name="CUMRET">_xlfn.LAMBDA(_xlpm.ts, FVSCHEDULE(1, _xlpm.ts) - 1 )</definedName>
    <definedName name="Cumulative">_xlfn.LAMBDA(_xlpm.ts,_xlpm.func,     _xlfn.LET(         _xlpm.n, ROWS(_xlpm.ts),         _xlpm.i, _xlfn.SEQUENCE(_xlpm.n),         _xlfn.MAP(_xlpm.i,             _xlfn.LAMBDA(_xlpm.j,                 _xlpm.func(_xlfn.CHOOSEROWS(_xlpm.ts, _xlfn.SEQUENCE(_xlpm.j, , 1)))             )         )     ) )</definedName>
    <definedName name="DownCapture">_xlfn.LAMBDA(_xlpm.fund,_xlpm.market,_xlfn.LET(_xlpm.downmarket,_xlpm.market&lt;0,Returns(IF(_xlpm.downmarket,_xlpm.fund,NA()))/Returns(IF(_xlpm.downmarket,_xlpm.market,NA()))))</definedName>
    <definedName name="Fund">Data!$B$2:$B$120</definedName>
    <definedName name="GROWTHOF">_xlfn.LAMBDA(_xlpm.ts,_xlpm.init, IF(_xlfn.ISOMITTED(_xlpm.init), 100, _xlpm.init) * (CUMRET(_xlpm.ts) + 1))</definedName>
    <definedName name="KendallTau">_xlfn.LAMBDA(_xlpm.x,_xlpm.y,_xlpm.variant,     _xlfn.LET(         _xlpm.V, IF(_xlfn.ISOMITTED(_xlpm.variant), "B", _xlpm.variant),         _xlpm.N, COUNT(_xlpm.x),         _xlpm.M, MIN(COUNT(_xlfn.UNIQUE(_xlpm.x)), COUNT(_xlfn.UNIQUE(_xlpm.y))),         _xlpm.N_0, _xlpm.N * (_xlpm.N - 1),         _xlpm.CD, _xlfn.MAKEARRAY(             _xlpm.N, _xlpm.N,             _xlfn.LAMBDA(_xlpm.i,_xlpm.j,                 IF(_xlpm.i &gt; _xlpm.j,                     _xlfn.SWITCH(TRUE,                         SIGN((INDEX(_xlpm.x,_xlpm.i) - INDEX(_xlpm.x,_xlpm.j)) * (INDEX(_xlpm.y,_xlpm.i) - INDEX(_xlpm.y,_xlpm.j))) =  1, "C",                         SIGN((INDEX(_xlpm.x,_xlpm.i) - INDEX(_xlpm.x,_xlpm.j)) * (INDEX(_xlpm.y,_xlpm.i) - INDEX(_xlpm.y,_xlpm.j))) = -1, "D",                         AND(INDEX(_xlpm.x,_xlpm.i) = INDEX(_xlpm.x,_xlpm.j), INDEX(_xlpm.y,_xlpm.i) &lt;&gt; INDEX(_xlpm.y,_xlpm.j)), "T",                         AND(INDEX(_xlpm.y,_xlpm.i) = INDEX(_xlpm.y,_xlpm.j), INDEX(_xlpm.x,_xlpm.i) &lt;&gt; INDEX(_xlpm.x,_xlpm.j)), "U",                     ), 0                 )             )         ),         _xlpm.N_C, SUM(IF(_xlpm.CD = "C", 1)),         _xlpm.N_D, SUM(IF(_xlpm.CD = "D", 1)),         _xlpm.N_1, SUM(IF(_xlpm.CD = "T", 1)),         _xlpm.N_2, SUM(IF(_xlpm.CD = "U", 1)),         _xlpm.B, (_xlpm.N_C - _xlpm.N_D) / SQRT((_xlpm.N_C + _xlpm.N_D + _xlpm.N_1) * (_xlpm.N_C + _xlpm.N_D + _xlpm.N_2)),         _xlpm.C, 2 * (_xlpm.N_C - _xlpm.N_D) / (_xlpm.N^2 * (_xlpm.M - 1) / _xlpm.M),         IF(_xlpm.V = "B", _xlpm.B, _xlpm.C)     ) )</definedName>
    <definedName name="MAXCONSECGAINPER">_xlfn.LAMBDA(_xlpm.ts,MAX(_xlfn.SCAN(0,SIGN(_xlpm.ts)&gt;0,_xlfn.LAMBDA(_xlpm.x,_xlpm.y,IF(_xlpm.y,_xlpm.x+_xlpm.y,0)))))</definedName>
    <definedName name="MAXCONSECGAINRET">_xlfn.LAMBDA(_xlpm.ts,MAX(_xlfn.SCAN(1,_xlpm.ts,_xlfn.LAMBDA(_xlpm.x,_xlpm.y,IF(_xlpm.y&gt;0,_xlpm.x*(1+_xlpm.y),1))))-1)</definedName>
    <definedName name="MAXCONSECLOSSPER">_xlfn.LAMBDA(_xlpm.ts,MAX(_xlfn.SCAN(0,SIGN(_xlpm.ts)&lt;0,_xlfn.LAMBDA(_xlpm.x,_xlpm.y,IF(_xlpm.y,_xlpm.x+_xlpm.y,0)))))</definedName>
    <definedName name="MAXCONSECLOSSRET">_xlfn.LAMBDA(_xlpm.ts,MIN(_xlfn.SCAN(1,_xlpm.ts,_xlfn.LAMBDA(_xlpm.x,_xlpm.y,IF(_xlpm.y&lt;0,_xlpm.x*(1+_xlpm.y),1))))-1)</definedName>
    <definedName name="PER">_xlfn.LAMBDA(_xlpm.ts, COUNT(_xlpm.ts))</definedName>
    <definedName name="PERNEG">_xlfn.LAMBDA(_xlpm.ts, COUNTIF(_xlpm.ts, "&lt;0"))</definedName>
    <definedName name="PERPOS">_xlfn.LAMBDA(_xlpm.ts, COUNTIF(_xlpm.ts, "&gt;0"))</definedName>
    <definedName name="Returns">_xlfn.LAMBDA(_xlpm.x,_xlfn.LET(_xlpm.n,COUNT(_xlpm.x),POWER(FVSCHEDULE(1,IFERROR(_xlpm.x,0)),12/IF(_xlpm.n&lt;12,12,_xlpm.n))-1))</definedName>
    <definedName name="Rfr">Data!$D$2:$D$120</definedName>
    <definedName name="Rolling">_xlfn.LAMBDA(_xlpm.ts,_xlpm.n,_xlpm.func,     _xlfn.LET(         _xlpm.i, _xlfn.SEQUENCE(ROWS(_xlpm.ts)),         _xlfn.MAP(_xlpm.i,             _xlfn.LAMBDA(_xlpm.j,                 IF(_xlpm.j&lt;_xlpm.n, NA(),                     _xlpm.func(_xlfn.CHOOSEROWS(_xlpm.ts,_xlfn.SEQUENCE(_xlpm.n, , _xlpm.j-_xlpm.n+1)))                 )             )         )     ) )</definedName>
    <definedName name="SortinoMar">_xlfn.LAMBDA(_xlpm.fund,_xlpm.mar,_xlfn.LET(_xlpm.hurdle,_xlpm.mar/12,(Returns(_xlpm.fund)-_xlpm.mar)/SQRT(SUM(IF(_xlpm.fund&lt;_xlpm.hurdle,(_xlpm.fund-_xlpm.hurdle)^2)/COUNT(_xlpm.fund)*12))))</definedName>
    <definedName name="SortinoRfr">_xlfn.LAMBDA(_xlpm.fund,_xlpm.rfr,(Returns(_xlpm.fund)-Returns(_xlpm.rfr))/SQRT(SUM(IF(_xlpm.fund&lt;_xlpm.rfr,_xlpm.fund-_xlpm.rfr,0)^2)/COUNT(_xlpm.fund)*12))</definedName>
    <definedName name="Trailing">_xlfn.LAMBDA(_xlpm.ts,_xlpm.func,     _xlfn.LET(         _xlpm.n, ROWS(_xlpm.ts),         _xlpm.i, _xlfn.SEQUENCE(_xlpm.n),         _xlfn.MAP(_xlpm.i,             _xlfn.LAMBDA(_xlpm.j,                 _xlpm.func(_xlfn.CHOOSEROWS(_xlpm.ts,_xlfn.SEQUENCE(_xlpm.j, , _xlpm.n-_xlpm.j+1)))             )         )     ) )</definedName>
    <definedName name="Underwater">_xlfn.LAMBDA(_xlpm.x,VAMI(_xlpm.x)/_xlfn.SCAN(1000,VAMI(_xlpm.x),_xleta.MAX)-1)</definedName>
    <definedName name="UpCapture">_xlfn.LAMBDA(_xlpm.fund,_xlpm.market,_xlfn.LET(_xlpm.upmarket,_xlpm.market&gt;0,Returns(IF(_xlpm.upmarket,_xlpm.fund,NA()))/Returns(IF(_xlpm.upmarket,_xlpm.market,NA()))))</definedName>
    <definedName name="VAMI">_xlfn.LAMBDA(_xlpm.x,_xlfn.VSTACK(1000,_xlfn.SCAN(1000,_xlpm.x,_xlfn.LAMBDA(_xlpm.x,_xlpm.y,_xlpm.x*(1+_xlpm.y)))))</definedName>
    <definedName name="WORSTPERIOD">_xlfn.LAMBDA(_xlpm.ts, MIN(_xlpm.ts)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Data" connection="WorksheetConnection_ftk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3" l="1" a="1"/>
  <c r="M1" i="3" s="1"/>
  <c r="D66" i="3"/>
  <c r="D65" i="3"/>
  <c r="D68" i="3" s="1"/>
  <c r="D64" i="3"/>
  <c r="D63" i="3"/>
  <c r="E16" i="3" a="1"/>
  <c r="E16" i="3" s="1"/>
  <c r="E15" i="3" a="1"/>
  <c r="E15" i="3" s="1"/>
  <c r="E14" i="3" a="1"/>
  <c r="E14" i="3" s="1"/>
  <c r="E13" i="3" a="1"/>
  <c r="E13" i="3" s="1"/>
  <c r="E10" i="3" a="1"/>
  <c r="E10" i="3" s="1"/>
  <c r="E9" i="3" a="1"/>
  <c r="E9" i="3" s="1"/>
  <c r="E8" i="3" a="1"/>
  <c r="E8" i="3" s="1"/>
  <c r="E12" i="3" a="1"/>
  <c r="E12" i="3" s="1"/>
  <c r="E11" i="3" a="1"/>
  <c r="E11" i="3" s="1"/>
  <c r="E7" i="3" a="1"/>
  <c r="E7" i="3" s="1"/>
  <c r="E6" i="3" a="1"/>
  <c r="E6" i="3" s="1"/>
  <c r="E5" i="3" a="1"/>
  <c r="E5" i="3" s="1"/>
  <c r="E4" i="3" a="1"/>
  <c r="E4" i="3" s="1"/>
  <c r="E3" i="3" a="1"/>
  <c r="E3" i="3" s="1"/>
  <c r="E2" i="3" a="1"/>
  <c r="E2" i="3" s="1"/>
  <c r="D62" i="3" a="1"/>
  <c r="D62" i="3" s="1"/>
  <c r="D33" i="3" a="1"/>
  <c r="D33" i="3" s="1"/>
  <c r="AQ4" i="1" a="1"/>
  <c r="AQ4" i="1" s="1"/>
  <c r="D12" i="3"/>
  <c r="D24" i="3"/>
  <c r="D55" i="3" a="1"/>
  <c r="D55" i="3" s="1"/>
  <c r="D60" i="3" a="1"/>
  <c r="D60" i="3" s="1"/>
  <c r="D53" i="3" a="1"/>
  <c r="D53" i="3" s="1"/>
  <c r="D57" i="3" a="1"/>
  <c r="D57" i="3" s="1"/>
  <c r="D43" i="3"/>
  <c r="D25" i="3"/>
  <c r="D31" i="3" a="1"/>
  <c r="D31" i="3" s="1"/>
  <c r="D3" i="3" a="1"/>
  <c r="D3" i="3" s="1"/>
  <c r="D23" i="3"/>
  <c r="D7" i="3"/>
  <c r="D6" i="3"/>
  <c r="D20" i="3" a="1"/>
  <c r="D20" i="3" s="1"/>
  <c r="D5" i="3"/>
  <c r="D16" i="3" a="1"/>
  <c r="D16" i="3" s="1"/>
  <c r="D15" i="3" a="1"/>
  <c r="D15" i="3" s="1"/>
  <c r="D28" i="3"/>
  <c r="D14" i="3" a="1"/>
  <c r="D14" i="3" s="1"/>
  <c r="D13" i="3" a="1"/>
  <c r="D13" i="3" s="1"/>
  <c r="D26" i="3"/>
  <c r="D27" i="3"/>
  <c r="D32" i="3" a="1"/>
  <c r="D32" i="3" s="1"/>
  <c r="D19" i="3" a="1"/>
  <c r="D19" i="3" s="1"/>
  <c r="D56" i="3" a="1"/>
  <c r="D56" i="3" s="1"/>
  <c r="D61" i="3" a="1"/>
  <c r="D61" i="3" s="1"/>
  <c r="D54" i="3" a="1"/>
  <c r="D54" i="3" s="1"/>
  <c r="D2" i="3"/>
  <c r="D41" i="3"/>
  <c r="D42" i="3" s="1"/>
  <c r="D67" i="3"/>
  <c r="D34" i="3" a="1"/>
  <c r="D34" i="3" s="1"/>
  <c r="D37" i="3"/>
  <c r="D38" i="3" a="1"/>
  <c r="D38" i="3" s="1"/>
  <c r="D36" i="3"/>
  <c r="D40" i="3" s="1"/>
  <c r="D11" i="3"/>
  <c r="D59" i="3" a="1"/>
  <c r="D59" i="3" s="1"/>
  <c r="D39" i="3"/>
  <c r="D10" i="3"/>
  <c r="D9" i="3"/>
  <c r="D35" i="3" s="1"/>
  <c r="D8" i="3"/>
  <c r="D30" i="3" a="1"/>
  <c r="D30" i="3" s="1"/>
  <c r="D29" i="3" a="1"/>
  <c r="D29" i="3" s="1"/>
  <c r="D44" i="3"/>
  <c r="D45" i="3" a="1"/>
  <c r="D45" i="3" s="1"/>
  <c r="D46" i="3" a="1"/>
  <c r="D46" i="3" s="1"/>
  <c r="D22" i="3" l="1"/>
  <c r="D58" i="3" a="1"/>
  <c r="D58" i="3" s="1"/>
  <c r="D21" i="3"/>
  <c r="D52" i="3"/>
  <c r="D48" i="3"/>
  <c r="D47" i="3" a="1"/>
  <c r="D47" i="3" s="1"/>
  <c r="D49" i="3" a="1"/>
  <c r="D49" i="3" s="1"/>
  <c r="D50" i="3" a="1"/>
  <c r="D50" i="3" s="1"/>
  <c r="D51" i="3"/>
  <c r="D18" i="3" a="1"/>
  <c r="D18" i="3" s="1"/>
  <c r="D4" i="3"/>
  <c r="D17" i="3"/>
  <c r="H4" i="1" l="1" a="1"/>
  <c r="H4" i="1" s="1"/>
  <c r="X4" i="1" s="1" a="1"/>
  <c r="X4" i="1" s="1"/>
  <c r="A3" i="1" a="1"/>
  <c r="A3" i="1" s="1"/>
  <c r="G4" i="1" a="1"/>
  <c r="G4" i="1" s="1"/>
  <c r="F4" i="1" a="1"/>
  <c r="F4" i="1" s="1"/>
  <c r="V4" i="1" l="1" a="1"/>
  <c r="V4" i="1" s="1"/>
  <c r="AT4" i="1" a="1"/>
  <c r="AT4" i="1" s="1"/>
  <c r="AN5" i="1"/>
  <c r="AN6" i="1" s="1"/>
  <c r="W4" i="1" a="1"/>
  <c r="W4" i="1" s="1"/>
  <c r="R4" i="1" s="1" a="1"/>
  <c r="R4" i="1" s="1"/>
  <c r="AM7" i="1"/>
  <c r="AM5" i="1"/>
  <c r="AM6" i="1" s="1"/>
  <c r="AF4" i="1" a="1"/>
  <c r="AF4" i="1" s="1"/>
  <c r="AI4" i="1" a="1"/>
  <c r="AI4" i="1" s="1"/>
  <c r="AH4" i="1" a="1"/>
  <c r="AH4" i="1" s="1"/>
  <c r="AD4" i="1" a="1"/>
  <c r="AD4" i="1" s="1"/>
  <c r="S14" i="1" a="1"/>
  <c r="S14" i="1" s="1"/>
  <c r="S19" i="1" a="1"/>
  <c r="S19" i="1" s="1"/>
  <c r="AA4" i="1" a="1"/>
  <c r="AA4" i="1" s="1"/>
  <c r="AB4" i="1" a="1"/>
  <c r="AB4" i="1" s="1"/>
  <c r="T19" i="1" a="1"/>
  <c r="T19" i="1" s="1"/>
  <c r="R16" i="1"/>
  <c r="R19" i="1" a="1"/>
  <c r="R19" i="1" s="1"/>
  <c r="Z4" i="1" a="1"/>
  <c r="R20" i="1" a="1"/>
  <c r="R20" i="1" s="1"/>
  <c r="S20" i="1" a="1"/>
  <c r="S20" i="1" s="1"/>
  <c r="S13" i="1" a="1"/>
  <c r="S13" i="1" s="1"/>
  <c r="R13" i="1" a="1"/>
  <c r="R13" i="1" s="1"/>
  <c r="R14" i="1" a="1"/>
  <c r="R14" i="1" s="1"/>
  <c r="Q9" i="1"/>
  <c r="J3" i="1" a="1"/>
  <c r="J3" i="1" s="1"/>
  <c r="M3" i="1" a="1"/>
  <c r="M3" i="1" s="1"/>
  <c r="S16" i="1"/>
  <c r="K3" i="1" a="1"/>
  <c r="K3" i="1" s="1"/>
  <c r="N3" i="1" a="1"/>
  <c r="N3" i="1" s="1"/>
  <c r="Z4" i="1" l="1"/>
  <c r="F2" i="3" l="1" a="1"/>
  <c r="F2" i="3" l="1"/>
  <c r="J2" i="3" l="1"/>
  <c r="F3" i="3" l="1" a="1"/>
  <c r="F3" i="3" l="1"/>
  <c r="F4" i="3" s="1" a="1"/>
  <c r="F4" i="3" s="1"/>
  <c r="F5" i="3" l="1" a="1"/>
  <c r="F5" i="3" s="1"/>
  <c r="J4" i="3"/>
  <c r="J3" i="3"/>
  <c r="F6" i="3" l="1" a="1"/>
  <c r="F6" i="3" s="1"/>
  <c r="J5" i="3"/>
  <c r="J6" i="3" l="1"/>
  <c r="F7" i="3" a="1"/>
  <c r="F7" i="3" s="1"/>
  <c r="J7" i="3" l="1"/>
  <c r="F8" i="3" a="1"/>
  <c r="F8" i="3" s="1"/>
  <c r="F9" i="3" l="1" a="1"/>
  <c r="F9" i="3" s="1"/>
  <c r="J8" i="3"/>
  <c r="F10" i="3" l="1" a="1"/>
  <c r="F10" i="3" s="1"/>
  <c r="J9" i="3"/>
  <c r="F11" i="3" l="1" a="1"/>
  <c r="F11" i="3" s="1"/>
  <c r="J11" i="3" s="1"/>
  <c r="J10" i="3"/>
  <c r="F12" i="3" l="1" a="1"/>
  <c r="F12" i="3" l="1"/>
  <c r="F13" i="3" s="1" a="1"/>
  <c r="F13" i="3" s="1"/>
  <c r="J13" i="3" l="1"/>
  <c r="F14" i="3" a="1"/>
  <c r="F14" i="3" s="1"/>
  <c r="J12" i="3"/>
  <c r="J14" i="3" l="1"/>
  <c r="F15" i="3" a="1"/>
  <c r="F15" i="3" s="1"/>
  <c r="J15" i="3" l="1"/>
  <c r="F16" i="3" a="1"/>
  <c r="F16" i="3" s="1"/>
  <c r="J16" i="3" l="1"/>
  <c r="F17" i="3" a="1"/>
  <c r="F17" i="3" s="1"/>
  <c r="F18" i="3" l="1" a="1"/>
  <c r="F18" i="3" s="1"/>
  <c r="J17" i="3"/>
  <c r="F19" i="3" l="1" a="1"/>
  <c r="F19" i="3" s="1"/>
  <c r="J18" i="3"/>
  <c r="F20" i="3" l="1" a="1"/>
  <c r="F20" i="3" s="1"/>
  <c r="J19" i="3"/>
  <c r="J20" i="3" l="1"/>
  <c r="F21" i="3" a="1"/>
  <c r="F21" i="3" s="1"/>
  <c r="F22" i="3" l="1" a="1"/>
  <c r="F22" i="3" s="1"/>
  <c r="J21" i="3"/>
  <c r="J22" i="3" l="1"/>
  <c r="F23" i="3" a="1"/>
  <c r="F23" i="3" s="1"/>
  <c r="F24" i="3" l="1" a="1"/>
  <c r="F24" i="3" s="1"/>
  <c r="J23" i="3"/>
  <c r="J24" i="3" l="1"/>
  <c r="F25" i="3" a="1"/>
  <c r="F25" i="3" s="1"/>
  <c r="J25" i="3" l="1"/>
  <c r="F26" i="3" a="1"/>
  <c r="F26" i="3" s="1"/>
  <c r="J26" i="3" l="1"/>
  <c r="F27" i="3" a="1"/>
  <c r="F27" i="3" s="1"/>
  <c r="F28" i="3" l="1" a="1"/>
  <c r="F28" i="3" s="1"/>
  <c r="J27" i="3"/>
  <c r="J28" i="3" l="1"/>
  <c r="F29" i="3" a="1"/>
  <c r="F29" i="3" s="1"/>
  <c r="J29" i="3" l="1"/>
  <c r="F30" i="3" a="1"/>
  <c r="F30" i="3" s="1"/>
  <c r="F31" i="3" l="1" a="1"/>
  <c r="F31" i="3" s="1"/>
  <c r="J30" i="3"/>
  <c r="J31" i="3" l="1"/>
  <c r="F32" i="3" a="1"/>
  <c r="F32" i="3" s="1"/>
  <c r="F33" i="3" l="1" a="1"/>
  <c r="F33" i="3" s="1"/>
  <c r="J32" i="3"/>
  <c r="J33" i="3" l="1"/>
  <c r="F34" i="3" a="1"/>
  <c r="F34" i="3" s="1"/>
  <c r="F35" i="3" l="1" a="1"/>
  <c r="F35" i="3" s="1"/>
  <c r="J34" i="3"/>
  <c r="J35" i="3" l="1"/>
  <c r="F36" i="3" a="1"/>
  <c r="F36" i="3" s="1"/>
  <c r="J36" i="3" l="1"/>
  <c r="F37" i="3" a="1"/>
  <c r="F37" i="3" s="1"/>
  <c r="J37" i="3" l="1"/>
  <c r="F38" i="3" a="1"/>
  <c r="F38" i="3" s="1"/>
  <c r="J38" i="3" l="1"/>
  <c r="F39" i="3" a="1"/>
  <c r="F39" i="3" s="1"/>
  <c r="F40" i="3" l="1" a="1"/>
  <c r="F40" i="3" s="1"/>
  <c r="J39" i="3"/>
  <c r="J40" i="3" l="1"/>
  <c r="F41" i="3" a="1"/>
  <c r="F41" i="3" s="1"/>
  <c r="F42" i="3" l="1" a="1"/>
  <c r="F42" i="3" s="1"/>
  <c r="J41" i="3"/>
  <c r="F43" i="3" l="1" a="1"/>
  <c r="F43" i="3" s="1"/>
  <c r="J42" i="3"/>
  <c r="J43" i="3" l="1"/>
  <c r="F44" i="3" a="1"/>
  <c r="F44" i="3" s="1"/>
  <c r="F45" i="3" l="1" a="1"/>
  <c r="F45" i="3" s="1"/>
  <c r="J44" i="3"/>
  <c r="J45" i="3" l="1"/>
  <c r="F46" i="3" a="1"/>
  <c r="F46" i="3" s="1"/>
  <c r="F47" i="3" l="1" a="1"/>
  <c r="F47" i="3" s="1"/>
  <c r="F48" i="3" s="1" a="1"/>
  <c r="F48" i="3" s="1"/>
  <c r="F49" i="3" s="1" a="1"/>
  <c r="F49" i="3" s="1"/>
  <c r="J46" i="3"/>
  <c r="J49" i="3" l="1"/>
  <c r="F50" i="3" a="1"/>
  <c r="F50" i="3" s="1"/>
  <c r="J50" i="3" l="1"/>
  <c r="F51" i="3" a="1"/>
  <c r="F51" i="3" s="1"/>
  <c r="F52" i="3" l="1" a="1"/>
  <c r="F52" i="3" s="1"/>
  <c r="J51" i="3"/>
  <c r="J52" i="3" l="1"/>
  <c r="F53" i="3" a="1"/>
  <c r="F53" i="3" s="1"/>
  <c r="J53" i="3" l="1"/>
  <c r="F54" i="3" a="1"/>
  <c r="F54" i="3" s="1"/>
  <c r="J54" i="3" l="1"/>
  <c r="F55" i="3" a="1"/>
  <c r="F55" i="3" s="1"/>
  <c r="J55" i="3" l="1"/>
  <c r="F56" i="3" a="1"/>
  <c r="F56" i="3" s="1"/>
  <c r="J56" i="3" l="1"/>
  <c r="F57" i="3" a="1"/>
  <c r="F57" i="3" s="1"/>
  <c r="J57" i="3" l="1"/>
  <c r="F58" i="3" a="1"/>
  <c r="F58" i="3" s="1"/>
  <c r="J58" i="3" l="1"/>
  <c r="F59" i="3" a="1"/>
  <c r="F59" i="3" s="1"/>
  <c r="J59" i="3" l="1"/>
  <c r="F60" i="3" a="1"/>
  <c r="F60" i="3" s="1"/>
  <c r="J60" i="3" l="1"/>
  <c r="F61" i="3" a="1"/>
  <c r="F61" i="3" s="1"/>
  <c r="J48" i="3"/>
  <c r="J47" i="3"/>
  <c r="J61" i="3" l="1"/>
  <c r="F62" i="3" l="1" a="1"/>
  <c r="F62" i="3" s="1"/>
  <c r="F63" i="3" s="1" a="1"/>
  <c r="F63" i="3" s="1"/>
  <c r="F64" i="3" s="1" a="1"/>
  <c r="F64" i="3" s="1"/>
  <c r="J64" i="3" l="1"/>
  <c r="F65" i="3" a="1"/>
  <c r="F65" i="3" s="1"/>
  <c r="F66" i="3" s="1" a="1"/>
  <c r="F66" i="3" s="1"/>
  <c r="J62" i="3"/>
  <c r="J65" i="3" l="1"/>
  <c r="J66" i="3"/>
  <c r="J63" i="3" l="1"/>
  <c r="F67" i="3" a="1"/>
  <c r="F67" i="3" s="1"/>
  <c r="F68" i="3" s="1" a="1"/>
  <c r="F68" i="3" s="1"/>
  <c r="J67" i="3" l="1"/>
  <c r="J6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71FC56-49A8-47B5-BE78-53028BA4C373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C99B5483-B7C6-42BF-B801-A5150889A3F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FAF5CC5-82D7-4BEA-B859-49D10C6F36F7}" name="WorksheetConnection_ftk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ftk.xlsxTable2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statsmodels import api
from scipy import stats
# Data
fund = xl(%P2%).squeeze()
benchmark = xl(%P3%).squeeze()
rfr = xl(%P4%).squeeze()
# Functions
def cumulative_excess_return(ts, bm):
    return cumulative_return(ts) - cumulative_return(bm)
def excess_return(ts, bm):
    return annualized_return(ts) - annualized_return(bm)
def excess_return_geometric(ts, bm):
    return np.expm1((np.log1p(ts) - np.log1p(bm)).mean() * 12)
def gaussian_var(ts, q=0.95):
    return ts.mean() - stats.norm.ppf(q) * ts.std()
def conditional_var_other(ts, q=0.95):
    return ts[ts &lt;= gaussian_var(ts, q=q)].mean()
def cornish_fisher_var(ts, q=0.95):
    z = -stats.norm.ppf(q)
    return ts.mean() + (z + ts.skew() * (z ** 2 - 1) / 6 + ts.kurtosis() * (z ** 3 - 3 * z) / 24 - ts.skew() ** 2 * (2 * z ** 3 - 5 * z) / 36) * ts.std()
def gaussian_cvar(ts, q=0.95):
    a = 1 - q
    return ts.mean() - ts.std() * stats.norm.pdf(stats.norm.ppf(a)) / a
def historical_var(ts, q=0.95):
    return ts.quantile(1-q)
def historical_cvar(ts, q=0.95):
    return ts[ts &lt; historical_var(ts, q)].mean()
def annualized_return(ts):
    return np.expm1(np.log1p(ts).mean() * 12)
def vami(ts):
    return np.exp(np.log1p(ts).cumsum())
def growth_of(ts, init=100):
    return init * (1 + cumulative_return(ts))
def information_ratio(ts, bm):
    return (annualized_return(ts) - annualized_return(bm)) / tracking_error(ts, bm)
def jensen_alpha(ts, bm, rfr):
    return (1 + ts.mean() - rfr.mean() - beta(ts, bm) * (bm.mean() - rfr.mean())) ** 12 - 1
def jarque_bera(ts):
    return ts.count() / 6 * (ts.skew() ** 2 + ts.kurtosis() ** 2 / 4)
# FIXME
def underwater(ts):
    v = vami(ts)
    return v / v.cummax() - 1
def max_drawdown(ts):
    return underwater(ts).min()
def current_drawdown(ts):
    return underwater(ts).iloc[-1]
def average_drawdown(ts):
    u = underwater(ts)    
    g = u.groupby((u == 0).cumsum()).min()
    return g[g &lt; 0].mean()
def consecutive_positive_periods(ts):
    return ts[ts &gt; 0].groupby((ts &lt;= 0).cumsum()).count().max()
def consecutive_negative_periods(ts):
    return ts[ts &lt; 0].groupby((ts &gt;= 0).cumsum()).count().max()
def max_consecutive_gain(ts):
    return ((1 + ts)[ts &gt; 0].groupby((ts &lt;= 0).cumsum())).prod().max() - 1
def max_consecutive_loss(ts):
    return ((1 + ts)[ts &lt; 0].groupby((ts &gt;= 0).cumsum())).prod().min() - 1
def observations(ts):
    return ts.count()
def alpha_annualized(ts, bm):
    result = api.OLS(ts, api.add_constant(bm)).fit()
    return (1 + result.params.iloc[0]) ** 12 - 1
def autocorrelation(ts):
    return ts.iloc[:-1].corr(ts.shift(-1))
def average_return(ts):
    return ts.mean()
def average_positive_return(ts):
    return ts[ts &gt;= 0].mean()
def average_negative_return(ts):
    return ts[ts &lt; 0].mean()
def batting_average(ts, bm):
    return (ts &gt; bm).sum() / ts.count()
def best_period(ts):
    return max(ts)
def beta(ts, bm):
    result = api.OLS(ts, api.add_constant(bm)).fit()
    return result.params.iloc[1]
def standard_error(ts, bm):
    result = api.OLS(ts, api.add_constant(bm)).fit()
    return result.mse_resid ** 0.5
def beta_adjusted(ts, bm, rfr):
    result = api.OLS(ts - rfr, api.add_constant(bm - rfr)).fit()
    return result.params.iloc[1]
def beta_t_stat(ts, bm):
    result = api.OLS(ts, api.add_constant(bm)).fit()
    return result.tvalues.iloc[1]
def bias_ratio(ts):
    z = ts / ts.std()
    return ((z &gt;= 0) &amp; (z &lt;= 1)).sum() / (((z &gt;= -1) &amp; (z &lt; 0)).sum() + 1)
def calmar_ratio(ts):
    return annualized_return(ts) / -max_drawdown(ts)
def correlation(ts, bm):
    return ts.corr(bm)
def r_squared(ts, bm):
    return ts.corr(bm) ** 2
def cumulative_return(ts):
    return (1 + ts).prod() - 1
def down_market_capture(ts, bm):
    down = bm &lt; 0
    n = bm[down].count()    
    return ((1 + ts[down]).prod() ** (12 / n) - 1) / ((1 + bm[down]).prod() ** (12 / n) - 1) * 100
def gain_loss_ratio(ts):
    return average_positive_return(ts) / -average_negative_return(ts)
def kurtosis(ts):
    return ts.kurtosis()
def skewness(ts):
    return ts.skew()
def sharpe_ratio(ts, rfr):
    return (annualized_return(ts) - annualized_return(rfr)) / annualized_volatility(ts)
def sterling_ratio(ts):
    return annualized_return(ts) / (0.1 - average_drawdown(ts))
def treynor_ratio(ts, bm):
    return (annualized_return(ts) - annualized_return(rfr)) / beta(ts, bm)
def annualized_volatility(ts):
    return ts.std() * 12 ** 0.5
def up_market_capture(ts, bm):
    up = bm &gt;= 0
    n = bm[up].count()    
    return ((1 + ts[up]).prod() ** (12 / n) - 1) / ((1 + bm[up]).prod() ** (12 / n) - 1) * 100
def annualized_variance(ts):
    return ts.var() * 12
def tracking_error(ts, bm):
    return (ts - bm).std() * 12 ** 0.5
def worst_period(ts):
    return min(ts)
def kendall_tau_b(x, y, variant='b'):
    r = stats.kendalltau(x, y, variant=variant)
    return r.statistic
def periods_above_benchmark(ts, bm):
    return (ts &gt; bm).sum()
def percent_above_benchmark(ts, bm):
    return periods_above_benchmark(ts, bm) / observations(ts)
def positive_periods(ts):
    return (ts &gt; 0).sum()
def percent_positive(ts):
    return positive_periods(ts) / observations(ts)
def negative_periods(ts):
    return (ts &lt; 0).sum()
def reward_to_risk_ratio(ts):
    return annualized_return(ts) / annualized_volatility(ts)
def rolling_batting_average(ts, bm):
    ts36 = ts.rolling(36, min_periods=36).apply(annualized_return)
    bm36 = bm.rolling(36, min_periods=36).apply(annualized_return)
    return (ts36 &gt; bm36).sum() / ts36.count()
def semi_deviation(ts):
    x = ts - ts.mean()
    return (x[x &lt; 0].apply(lambda y: y ** 2).sum() / ((x &lt; 0).sum() - 1) * 12) ** 0.5
def up_market_return(ts, bm):
    return np.expm1(np.log1p(ts[bm &gt; 0]).mean() * 12)
def down_market_return(ts, bm):
    return np.expm1(np.log1p(ts[bm &lt; 0]).mean() * 12)
def up_market_percent(ts, bm):
    return ts[(ts &gt; bm) &amp; (bm &gt; 0)].count() / (bm &gt; 0).sum()
def down_market_percent(ts, bm):
    return ts[(ts &gt; bm) &amp; (bm &lt; 0)].count() / (bm &lt; 0).sum()
def gain_deviation(ts, mar=0):
    gain = ts - mar
    return (gain[gain &gt; 0].apply(lambda x: x ** 2).sum() / ts.count() * 12) ** 0.5
def loss_deviation(ts, rfr):
    loss = ts - rfr
    return (loss[loss &lt; 0].apply(lambda x: x ** 2).sum() / ts.count() * 12) ** 0.5
def sortino_ratio(ts, rfr):
    return (annualized_return(ts) - annualized_return(rfr)) / loss_deviation(ts, rfr)</code>
    </pythonScript>
    <pythonScript>
      <code>cumulative_return(fund)</code>
    </pythonScript>
    <pythonScript>
      <code>annualized_return(fund)</code>
    </pythonScript>
    <pythonScript>
      <code>growth_of(fund)</code>
    </pythonScript>
    <pythonScript>
      <code>observations(fund)</code>
    </pythonScript>
    <pythonScript>
      <code>positive_periods(fund)</code>
    </pythonScript>
    <pythonScript>
      <code>negative_periods(fund)</code>
    </pythonScript>
    <pythonScript>
      <code>average_return(fund)</code>
    </pythonScript>
    <pythonScript>
      <code>average_positive_return(fund)</code>
    </pythonScript>
    <pythonScript>
      <code>average_negative_return(fund)</code>
    </pythonScript>
    <pythonScript>
      <code>best_period(fund)</code>
    </pythonScript>
    <pythonScript>
      <code>worst_period(fund)</code>
    </pythonScript>
    <pythonScript>
      <code>max_consecutive_gain(fund)</code>
    </pythonScript>
    <pythonScript>
      <code>max_consecutive_loss(fund)</code>
    </pythonScript>
    <pythonScript>
      <code>consecutive_positive_periods(fund)</code>
    </pythonScript>
    <pythonScript>
      <code>consecutive_negative_periods(fund)</code>
    </pythonScript>
    <pythonScript>
      <code>cumulative_excess_return(fund, benchmark)</code>
    </pythonScript>
    <pythonScript>
      <code>excess_return(fund, benchmark)</code>
    </pythonScript>
    <pythonScript>
      <code>excess_return_geometric(fund, benchmark)</code>
    </pythonScript>
    <pythonScript>
      <code>periods_above_benchmark(fund, benchmark)</code>
    </pythonScript>
    <pythonScript>
      <code>percent_above_benchmark(fund, benchmark)</code>
    </pythonScript>
    <pythonScript>
      <code>percent_positive(fund)</code>
    </pythonScript>
    <pythonScript>
      <code>annualized_volatility(fund)</code>
    </pythonScript>
    <pythonScript>
      <code>annualized_variance(fund)</code>
    </pythonScript>
    <pythonScript>
      <code xml:space="preserve">skewness(fund)
</code>
    </pythonScript>
    <pythonScript>
      <code>kurtosis(fund)</code>
    </pythonScript>
    <pythonScript>
      <code>jarque_bera(fund)</code>
    </pythonScript>
    <pythonScript>
      <code>max_drawdown(fund)</code>
    </pythonScript>
    <pythonScript>
      <code>average_drawdown(fund)</code>
    </pythonScript>
    <pythonScript>
      <code>current_drawdown(fund)</code>
    </pythonScript>
    <pythonScript>
      <code>semi_deviation(fund)</code>
    </pythonScript>
    <pythonScript>
      <code xml:space="preserve">gain_deviation(fund, 0)
</code>
    </pythonScript>
    <pythonScript>
      <code>loss_deviation(fund, rfr)</code>
    </pythonScript>
    <pythonScript>
      <code>bias_ratio(fund)</code>
    </pythonScript>
    <pythonScript>
      <code>gain_loss_ratio(fund)</code>
    </pythonScript>
    <pythonScript>
      <code>beta(fund, benchmark)</code>
    </pythonScript>
    <pythonScript>
      <code>beta_t_stat(fund, benchmark)</code>
    </pythonScript>
    <pythonScript>
      <code>beta_adjusted(fund, benchmark, rfr)</code>
    </pythonScript>
    <pythonScript>
      <code>alpha_annualized(fund, benchmark)</code>
    </pythonScript>
    <pythonScript>
      <code>jensen_alpha(fund, benchmark, rfr)</code>
    </pythonScript>
    <pythonScript>
      <code>correlation(fund, benchmark)</code>
    </pythonScript>
    <pythonScript>
      <code>r_squared(fund, benchmark)</code>
    </pythonScript>
    <pythonScript>
      <code>standard_error(fund, benchmark)</code>
    </pythonScript>
    <pythonScript>
      <code>autocorrelation(fund)</code>
    </pythonScript>
    <pythonScript>
      <code>kendall_tau_b(np.array([12,2,1,12,2]),np.array([1,4,7,1,0]))</code>
    </pythonScript>
    <pythonScript>
      <code>kendall_tau_b(np.array([12,2,1,12,2]),np.array([1,4,7,1,0]), variant='c')</code>
    </pythonScript>
    <pythonScript>
      <code>sharpe_ratio(fund, rfr)</code>
    </pythonScript>
    <pythonScript>
      <code>reward_to_risk_ratio(fund)</code>
    </pythonScript>
    <pythonScript>
      <code>treynor_ratio(fund, benchmark)</code>
    </pythonScript>
    <pythonScript>
      <code>sortino_ratio(fund, rfr)</code>
    </pythonScript>
    <pythonScript>
      <code>sterling_ratio(fund)</code>
    </pythonScript>
    <pythonScript>
      <code>calmar_ratio(fund)</code>
    </pythonScript>
    <pythonScript>
      <code>up_market_return(fund, benchmark)</code>
    </pythonScript>
    <pythonScript>
      <code>down_market_return(fund, benchmark)</code>
    </pythonScript>
    <pythonScript>
      <code>up_market_capture(fund, benchmark)</code>
    </pythonScript>
    <pythonScript>
      <code>down_market_capture(fund, benchmark)</code>
    </pythonScript>
    <pythonScript>
      <code>tracking_error(fund, benchmark)</code>
    </pythonScript>
    <pythonScript>
      <code>information_ratio(fund, benchmark)</code>
    </pythonScript>
    <pythonScript>
      <code>batting_average(fund, benchmark)</code>
    </pythonScript>
    <pythonScript>
      <code>up_market_percent(fund, benchmark)</code>
    </pythonScript>
    <pythonScript>
      <code>down_market_percent(fund, benchmark)</code>
    </pythonScript>
    <pythonScript>
      <code>rolling_batting_average(fund, benchmark)</code>
    </pythonScript>
    <pythonScript>
      <code>historical_var(fund)</code>
    </pythonScript>
    <pythonScript>
      <code>historical_cvar(fund)</code>
    </pythonScript>
    <pythonScript>
      <code>gaussian_var(fund)</code>
    </pythonScript>
    <pythonScript>
      <code>gaussian_cvar(fund)</code>
    </pythonScript>
    <pythonScript>
      <code>cornish_fisher_var(fund)</code>
    </pythonScript>
    <pythonScript>
      <code>conditional_var_other(fund)</code>
    </pythonScript>
    <pythonScript>
      <code>fund.std() * 12**0.5</code>
    </pythonScript>
  </pythonScripts>
</python>
</file>

<file path=xl/sharedStrings.xml><?xml version="1.0" encoding="utf-8"?>
<sst xmlns="http://schemas.openxmlformats.org/spreadsheetml/2006/main" count="203" uniqueCount="121">
  <si>
    <t>VAMI</t>
  </si>
  <si>
    <t>Underwater</t>
  </si>
  <si>
    <t>Fund</t>
  </si>
  <si>
    <t>Benchmark</t>
  </si>
  <si>
    <t>Maximum Drawdown</t>
  </si>
  <si>
    <t>Statistics</t>
  </si>
  <si>
    <t>Market Capture</t>
  </si>
  <si>
    <t>Return (Static)</t>
  </si>
  <si>
    <t>Return (Dynamic)</t>
  </si>
  <si>
    <t>Sortino Ratio</t>
  </si>
  <si>
    <t>#</t>
  </si>
  <si>
    <t>Note: Returns are annualized for period longer than 12 months</t>
  </si>
  <si>
    <t>Rfr</t>
  </si>
  <si>
    <t>Trailing Returns</t>
  </si>
  <si>
    <t>Months:</t>
  </si>
  <si>
    <t>MAR:</t>
  </si>
  <si>
    <t>Up market:</t>
  </si>
  <si>
    <t>Down market:</t>
  </si>
  <si>
    <t>Rolling Returns</t>
  </si>
  <si>
    <t>Rolling Beta</t>
  </si>
  <si>
    <t>Rolling Volatility</t>
  </si>
  <si>
    <t>Rolling Alpha</t>
  </si>
  <si>
    <t>Alpha</t>
  </si>
  <si>
    <t>Jensen's Alpha</t>
  </si>
  <si>
    <t>VAR</t>
  </si>
  <si>
    <t>Gaussian</t>
  </si>
  <si>
    <t>CVaR/ETL/ES</t>
  </si>
  <si>
    <t>Date</t>
  </si>
  <si>
    <t>Measure</t>
  </si>
  <si>
    <t>Autocorrelation</t>
  </si>
  <si>
    <t>Average Drawdown</t>
  </si>
  <si>
    <t>Average Return</t>
  </si>
  <si>
    <t>Average Negative Return</t>
  </si>
  <si>
    <t>Average Positive Return</t>
  </si>
  <si>
    <t>Batting Average</t>
  </si>
  <si>
    <t>Best Period</t>
  </si>
  <si>
    <t>Beta</t>
  </si>
  <si>
    <t>Beta T-Stat</t>
  </si>
  <si>
    <t>Bias Ratio</t>
  </si>
  <si>
    <t>Calmar Ratio</t>
  </si>
  <si>
    <t>Cornish-Fisher VaR</t>
  </si>
  <si>
    <t>Correlation Coefficient</t>
  </si>
  <si>
    <t>Cumulative Excess Returns</t>
  </si>
  <si>
    <t>Cumulative Returns</t>
  </si>
  <si>
    <t>Excess Returns - Geometric</t>
  </si>
  <si>
    <t>Gain/Loss Ratio</t>
  </si>
  <si>
    <t>Gaussian VaR</t>
  </si>
  <si>
    <t>Information Ratio</t>
  </si>
  <si>
    <t>Jarque-Bera</t>
  </si>
  <si>
    <t>Jensen Alpha</t>
  </si>
  <si>
    <t>Max Consecutive Loss Return</t>
  </si>
  <si>
    <t>Max Consecutive Gain Return</t>
  </si>
  <si>
    <t>Max Drawdown</t>
  </si>
  <si>
    <t>Number of Consecutive Negative Periods</t>
  </si>
  <si>
    <t>Number of Consecutive Positive Periods</t>
  </si>
  <si>
    <t>Number of Positive Periods</t>
  </si>
  <si>
    <t>Number of Negative Periods</t>
  </si>
  <si>
    <t>Percent Profitable Periods</t>
  </si>
  <si>
    <t>Sharpe Ratio</t>
  </si>
  <si>
    <t>Tracking Error</t>
  </si>
  <si>
    <t>R-Squared</t>
  </si>
  <si>
    <t>Reward to Risk Ratio</t>
  </si>
  <si>
    <t>Rolling Batting Average</t>
  </si>
  <si>
    <t>Skewness</t>
  </si>
  <si>
    <t>Standard Error</t>
  </si>
  <si>
    <t>Sterling Ratio</t>
  </si>
  <si>
    <t>Treynor Ratio</t>
  </si>
  <si>
    <t>Up Market Return</t>
  </si>
  <si>
    <t>Up Market Capture Ratio</t>
  </si>
  <si>
    <t>Worst Period</t>
  </si>
  <si>
    <t>Expected</t>
  </si>
  <si>
    <t>Alpha (Annualized)</t>
  </si>
  <si>
    <t>Kurtosis (Excess)</t>
  </si>
  <si>
    <t>Standard Deviation (Annualized)</t>
  </si>
  <si>
    <t>Variance (Annualized)</t>
  </si>
  <si>
    <t>Category</t>
  </si>
  <si>
    <t>Regression</t>
  </si>
  <si>
    <t>Risk</t>
  </si>
  <si>
    <t>Semi Deviation (vs Mean, Annualized)</t>
  </si>
  <si>
    <t>N = Number of observations</t>
  </si>
  <si>
    <t>Gain Deviation (MAR)</t>
  </si>
  <si>
    <t>Beta (Rfr Adjusted)</t>
  </si>
  <si>
    <t>Current Drawdown</t>
  </si>
  <si>
    <t>Performance</t>
  </si>
  <si>
    <t>Number of Observations</t>
  </si>
  <si>
    <t>Percentage Above Benchmark</t>
  </si>
  <si>
    <t>Periods Above Benchmark</t>
  </si>
  <si>
    <t>Above zero</t>
  </si>
  <si>
    <t>Efficiency</t>
  </si>
  <si>
    <t>Returns (Annualized)</t>
  </si>
  <si>
    <t>Value at Risk</t>
  </si>
  <si>
    <t>Negative</t>
  </si>
  <si>
    <t>Note</t>
  </si>
  <si>
    <t>Loss Deviation</t>
  </si>
  <si>
    <t>N = Number of observations, aka Downside Risk, use Rfr instead of MAR</t>
  </si>
  <si>
    <t>Growth of $100</t>
  </si>
  <si>
    <t>Excel</t>
  </si>
  <si>
    <t>Python</t>
  </si>
  <si>
    <t>Calendar Year</t>
  </si>
  <si>
    <t>Cumulative</t>
  </si>
  <si>
    <t>DAX</t>
  </si>
  <si>
    <t>Down Market Return</t>
  </si>
  <si>
    <t>Down Market Capture Ratio</t>
  </si>
  <si>
    <t>Tableau</t>
  </si>
  <si>
    <t>FIXME: No hard code</t>
  </si>
  <si>
    <t>Difference</t>
  </si>
  <si>
    <t>Lambda</t>
  </si>
  <si>
    <t>Kendall's Tau-b</t>
  </si>
  <si>
    <t>Kendall's Tau-c</t>
  </si>
  <si>
    <t>Outperformed benchmark in up market (fka Down Period Percent)</t>
  </si>
  <si>
    <t>Down Market Batting Average</t>
  </si>
  <si>
    <t>Outperformed benchmark in up market (fka Up Period Percent)</t>
  </si>
  <si>
    <t>Up Period Batting Average</t>
  </si>
  <si>
    <t>Excess Returns - Arithmetic</t>
  </si>
  <si>
    <t>Not by calendar year</t>
  </si>
  <si>
    <t>Historical VaR</t>
  </si>
  <si>
    <t>Historical CVaR</t>
  </si>
  <si>
    <t>x</t>
  </si>
  <si>
    <t>Gaussian CVaR</t>
  </si>
  <si>
    <t>CVaR (Mixing both Gaussian &amp; Historical)</t>
  </si>
  <si>
    <t>Not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</si>
</sst>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"/>
    <numFmt numFmtId="165" formatCode="0.0000%"/>
    <numFmt numFmtId="166" formatCode="0.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0" fontId="2" fillId="0" borderId="0" xfId="1" applyNumberFormat="1" applyFont="1"/>
    <xf numFmtId="0" fontId="2" fillId="0" borderId="0" xfId="0" applyFont="1"/>
    <xf numFmtId="10" fontId="2" fillId="0" borderId="0" xfId="0" applyNumberFormat="1" applyFont="1"/>
    <xf numFmtId="2" fontId="2" fillId="0" borderId="0" xfId="0" applyNumberFormat="1" applyFont="1"/>
    <xf numFmtId="2" fontId="2" fillId="0" borderId="0" xfId="1" applyNumberFormat="1" applyFont="1"/>
    <xf numFmtId="0" fontId="3" fillId="0" borderId="0" xfId="0" applyFont="1"/>
    <xf numFmtId="9" fontId="2" fillId="2" borderId="0" xfId="0" applyNumberFormat="1" applyFont="1" applyFill="1"/>
    <xf numFmtId="0" fontId="2" fillId="2" borderId="0" xfId="1" applyNumberFormat="1" applyFont="1" applyFill="1"/>
    <xf numFmtId="10" fontId="3" fillId="0" borderId="0" xfId="1" applyNumberFormat="1" applyFont="1"/>
    <xf numFmtId="2" fontId="3" fillId="0" borderId="0" xfId="0" applyNumberFormat="1" applyFont="1"/>
    <xf numFmtId="10" fontId="3" fillId="0" borderId="0" xfId="0" applyNumberFormat="1" applyFont="1"/>
    <xf numFmtId="9" fontId="2" fillId="0" borderId="0" xfId="0" applyNumberFormat="1" applyFont="1"/>
    <xf numFmtId="14" fontId="2" fillId="0" borderId="0" xfId="1" applyNumberFormat="1" applyFont="1"/>
    <xf numFmtId="14" fontId="3" fillId="0" borderId="0" xfId="1" applyNumberFormat="1" applyFont="1"/>
    <xf numFmtId="164" fontId="2" fillId="0" borderId="0" xfId="0" applyNumberFormat="1" applyFont="1"/>
    <xf numFmtId="0" fontId="2" fillId="0" borderId="0" xfId="1" applyNumberFormat="1" applyFont="1"/>
    <xf numFmtId="165" fontId="2" fillId="0" borderId="0" xfId="1" applyNumberFormat="1" applyFont="1"/>
    <xf numFmtId="165" fontId="2" fillId="0" borderId="0" xfId="0" applyNumberFormat="1" applyFont="1"/>
    <xf numFmtId="164" fontId="2" fillId="0" borderId="0" xfId="1" applyNumberFormat="1" applyFont="1"/>
    <xf numFmtId="166" fontId="2" fillId="0" borderId="0" xfId="0" applyNumberFormat="1" applyFont="1"/>
    <xf numFmtId="14" fontId="3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7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5" formatCode="0.00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522CE4C7-36A7-47A1-824F-C9C8F1BD96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06/relationships/rdSupportingPropertyBag" Target="richData/rdsupportingpropertybag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sharedStrings" Target="sharedStrings.xml"/><Relationship Id="rId12" Type="http://schemas.microsoft.com/office/2017/06/relationships/rdSupportingPropertyBagStructure" Target="richData/rdsupportingpropertybagstructure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ichStyles" Target="richData/richStyle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microsoft.com/office/2017/06/relationships/rdRichValueStructure" Target="richData/rdrichvaluestructure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microsoft.com/office/2017/06/relationships/rdRichValueTypes" Target="richData/rdRichValueTyp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microsoft.com/office/2023/09/relationships/Python" Target="python.xml"/><Relationship Id="rId8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>0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</richProperties>
  <richStyles>
    <rSty dxfid="0">
      <rpv i="0">0;-0;"None"</rpv>
    </rSty>
  </richStyles>
</richStyleShee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CC8115-AF40-444A-958D-598AA1DF9B17}" name="Table2" displayName="Table2" ref="A1:D120" totalsRowShown="0" headerRowDxfId="5" dataDxfId="4" headerRowCellStyle="Percent" dataCellStyle="Percent">
  <autoFilter ref="A1:D120" xr:uid="{C9CC8115-AF40-444A-958D-598AA1DF9B17}"/>
  <tableColumns count="4">
    <tableColumn id="1" xr3:uid="{934F9B54-BCDC-4533-B1B1-9C333060832D}" name="Date" dataDxfId="3" dataCellStyle="Percent"/>
    <tableColumn id="2" xr3:uid="{6894530B-F553-43CC-9FDC-787C277A8B34}" name="Fund" dataDxfId="2" dataCellStyle="Percent"/>
    <tableColumn id="3" xr3:uid="{49B91F60-9CCF-4FB0-878B-A088A4D53F34}" name="Benchmark" dataDxfId="1" dataCellStyle="Percent"/>
    <tableColumn id="4" xr3:uid="{67B15DDD-17B4-498D-9CC1-90B6D6245E42}" name="Rfr" dataDxfId="0" dataCellStyle="Percent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7C8585-C148-48FB-BE25-789C4A93A00A}" name="Table1" displayName="Table1" ref="A1:K68" totalsRowShown="0" headerRowDxfId="17" dataDxfId="16">
  <autoFilter ref="A1:K68" xr:uid="{387C8585-C148-48FB-BE25-789C4A93A00A}"/>
  <sortState xmlns:xlrd2="http://schemas.microsoft.com/office/spreadsheetml/2017/richdata2" ref="A2:K68">
    <sortCondition ref="A1:A68"/>
  </sortState>
  <tableColumns count="11">
    <tableColumn id="1" xr3:uid="{0896B2A4-3FD6-4F96-B098-E36AF3600DF1}" name="#" dataDxfId="15"/>
    <tableColumn id="8" xr3:uid="{5D783CAF-456E-44A8-984E-44F5F13251CA}" name="Category" dataDxfId="14"/>
    <tableColumn id="2" xr3:uid="{BB4CFEBF-2FF7-42BC-80D8-A235D28FBFA8}" name="Measure" dataDxfId="13"/>
    <tableColumn id="4" xr3:uid="{64C2C66E-6921-4B7E-9943-6E8BA2868948}" name="Excel" dataDxfId="12">
      <calculatedColumnFormula array="1">SLOPE(Data!B2:B112-Data!D2:D112,Data!C2:C112-Data!D2:D112)</calculatedColumnFormula>
    </tableColumn>
    <tableColumn id="11" xr3:uid="{B96A6520-65E0-46FC-B60B-ADC6F24CD3F3}" name="Lambda"/>
    <tableColumn id="6" xr3:uid="{9731C190-7179-4E88-A070-669514D94365}" name="Python" dataDxfId="11">
      <calculatedColumnFormula array="1">_xlfn._xlws.PY(68,0)</calculatedColumnFormula>
    </tableColumn>
    <tableColumn id="9" xr3:uid="{F87E6222-ED22-4FF1-AA5E-1201632F2D18}" name="DAX" dataDxfId="10"/>
    <tableColumn id="10" xr3:uid="{560A41CF-9E85-49BA-806C-90A7D64564C7}" name="Tableau" dataDxfId="9"/>
    <tableColumn id="3" xr3:uid="{013E5404-1A14-4431-8E2A-694A5BE8D601}" name="Expected" dataDxfId="8"/>
    <tableColumn id="5" xr3:uid="{166995D0-19C3-421F-8A7A-6861312D2CA4}" name="Difference" dataDxfId="7" dataCellStyle="Percent">
      <calculatedColumnFormula>MAX(Table1[[#This Row],[Excel]:[Expected]])-MIN(Table1[[#This Row],[Excel]:[Expected]])</calculatedColumnFormula>
    </tableColumn>
    <tableColumn id="7" xr3:uid="{213D7C56-EEA3-4CF0-B9D0-9EA6A3CBBE06}" name="Note" dataDxfId="6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2"/>
  <sheetViews>
    <sheetView topLeftCell="Y1" workbookViewId="0">
      <pane ySplit="2" topLeftCell="A3" activePane="bottomLeft" state="frozen"/>
      <selection pane="bottomLeft" activeCell="AI10" sqref="AI10"/>
    </sheetView>
  </sheetViews>
  <sheetFormatPr defaultColWidth="8.88671875" defaultRowHeight="12" x14ac:dyDescent="0.25"/>
  <cols>
    <col min="1" max="1" width="3.109375" style="2" bestFit="1" customWidth="1"/>
    <col min="2" max="4" width="8.88671875" style="1"/>
    <col min="5" max="5" width="8.88671875" style="2"/>
    <col min="6" max="8" width="8.88671875" style="1"/>
    <col min="9" max="9" width="8.88671875" style="2"/>
    <col min="10" max="11" width="8.88671875" style="4"/>
    <col min="12" max="12" width="8.88671875" style="2"/>
    <col min="13" max="15" width="8.88671875" style="1"/>
    <col min="16" max="17" width="8.88671875" style="2"/>
    <col min="18" max="20" width="8.88671875" style="1"/>
    <col min="21" max="21" width="8.88671875" style="2"/>
    <col min="22" max="31" width="8.88671875" style="1"/>
    <col min="32" max="32" width="8.88671875" style="4"/>
    <col min="33" max="33" width="8.88671875" style="2"/>
    <col min="34" max="35" width="8.88671875" style="1"/>
    <col min="36" max="38" width="8.88671875" style="2"/>
    <col min="39" max="39" width="8.88671875" style="1"/>
    <col min="40" max="41" width="8.88671875" style="2"/>
    <col min="42" max="42" width="8.88671875" style="22"/>
    <col min="43" max="43" width="8.88671875" style="2"/>
    <col min="44" max="44" width="8.88671875" style="3"/>
    <col min="45" max="45" width="8.88671875" style="2"/>
    <col min="46" max="46" width="8.88671875" style="1"/>
    <col min="47" max="16384" width="8.88671875" style="2"/>
  </cols>
  <sheetData>
    <row r="1" spans="1:46" s="6" customFormat="1" x14ac:dyDescent="0.25">
      <c r="B1" s="9" t="s">
        <v>7</v>
      </c>
      <c r="C1" s="9"/>
      <c r="D1" s="9"/>
      <c r="F1" s="9" t="s">
        <v>8</v>
      </c>
      <c r="G1" s="9"/>
      <c r="H1" s="9"/>
      <c r="J1" s="10" t="s">
        <v>0</v>
      </c>
      <c r="K1" s="10"/>
      <c r="M1" s="9" t="s">
        <v>1</v>
      </c>
      <c r="N1" s="9"/>
      <c r="O1" s="9"/>
      <c r="P1" s="11" t="s">
        <v>5</v>
      </c>
      <c r="R1" s="9"/>
      <c r="S1" s="9"/>
      <c r="T1" s="9"/>
      <c r="V1" s="9" t="s">
        <v>13</v>
      </c>
      <c r="W1" s="9"/>
      <c r="X1" s="9"/>
      <c r="Y1" s="9"/>
      <c r="Z1" s="9" t="s">
        <v>18</v>
      </c>
      <c r="AA1" s="9"/>
      <c r="AB1" s="9"/>
      <c r="AC1" s="9"/>
      <c r="AD1" s="9" t="s">
        <v>20</v>
      </c>
      <c r="AE1" s="9"/>
      <c r="AF1" s="10" t="s">
        <v>19</v>
      </c>
      <c r="AH1" s="9" t="s">
        <v>21</v>
      </c>
      <c r="AI1" s="9"/>
      <c r="AM1" s="9"/>
      <c r="AP1" s="21"/>
      <c r="AQ1" s="6" t="s">
        <v>98</v>
      </c>
      <c r="AR1" s="11"/>
      <c r="AT1" s="9" t="s">
        <v>99</v>
      </c>
    </row>
    <row r="2" spans="1:46" x14ac:dyDescent="0.25">
      <c r="A2" s="2" t="s">
        <v>10</v>
      </c>
      <c r="B2" s="1" t="s">
        <v>2</v>
      </c>
      <c r="C2" s="1" t="s">
        <v>3</v>
      </c>
      <c r="D2" s="1" t="s">
        <v>12</v>
      </c>
      <c r="F2" s="1" t="s">
        <v>2</v>
      </c>
      <c r="G2" s="1" t="s">
        <v>3</v>
      </c>
      <c r="H2" s="1" t="s">
        <v>12</v>
      </c>
      <c r="I2" s="1"/>
      <c r="J2" s="5" t="s">
        <v>2</v>
      </c>
      <c r="K2" s="5" t="s">
        <v>3</v>
      </c>
      <c r="M2" s="1" t="s">
        <v>2</v>
      </c>
      <c r="N2" s="1" t="s">
        <v>3</v>
      </c>
      <c r="R2" s="1" t="s">
        <v>2</v>
      </c>
      <c r="S2" s="1" t="s">
        <v>3</v>
      </c>
      <c r="T2" s="1" t="s">
        <v>12</v>
      </c>
      <c r="Z2" s="1" t="s">
        <v>14</v>
      </c>
      <c r="AA2" s="8">
        <v>12</v>
      </c>
      <c r="AH2" s="1" t="s">
        <v>22</v>
      </c>
      <c r="AI2" s="1" t="s">
        <v>23</v>
      </c>
    </row>
    <row r="3" spans="1:46" x14ac:dyDescent="0.25">
      <c r="A3" s="2" cm="1">
        <f t="array" ref="A3:A122">_xlfn.SEQUENCE(COUNT($B:$B)+1,,0)</f>
        <v>0</v>
      </c>
      <c r="J3" s="4" cm="1">
        <f t="array" ref="J3:J122">VAMI(_xlfn.ANCHORARRAY(F$4))</f>
        <v>1000</v>
      </c>
      <c r="K3" s="4" cm="1">
        <f t="array" ref="K3:K122">VAMI(_xlfn.ANCHORARRAY(G$4))</f>
        <v>1000</v>
      </c>
      <c r="M3" s="1" cm="1">
        <f t="array" ref="M3:M122">Underwater(_xlfn.ANCHORARRAY(F$4))</f>
        <v>0</v>
      </c>
      <c r="N3" s="1" cm="1">
        <f t="array" ref="N3:N122">Underwater(_xlfn.ANCHORARRAY(G$4))</f>
        <v>0</v>
      </c>
      <c r="P3" s="6" t="s">
        <v>13</v>
      </c>
    </row>
    <row r="4" spans="1:46" x14ac:dyDescent="0.25">
      <c r="A4" s="2">
        <v>1</v>
      </c>
      <c r="B4" s="1">
        <v>8.5240000000000003E-3</v>
      </c>
      <c r="C4" s="1">
        <v>2.6894999999999999E-2</v>
      </c>
      <c r="D4" s="1">
        <v>1.5E-5</v>
      </c>
      <c r="F4" s="1" cm="1">
        <f t="array" ref="F4:F122">B$4:B$122</f>
        <v>8.5240000000000003E-3</v>
      </c>
      <c r="G4" s="1" cm="1">
        <f t="array" ref="G4:G122">C$4:C$122</f>
        <v>2.6894999999999999E-2</v>
      </c>
      <c r="H4" s="1" cm="1">
        <f t="array" ref="H4:H122">D$4:D$122</f>
        <v>1.5E-5</v>
      </c>
      <c r="J4" s="4">
        <v>1008.524</v>
      </c>
      <c r="K4" s="4">
        <v>1026.895</v>
      </c>
      <c r="M4" s="1">
        <v>0</v>
      </c>
      <c r="N4" s="1">
        <v>0</v>
      </c>
      <c r="P4" s="2" t="s">
        <v>14</v>
      </c>
      <c r="Q4" s="2">
        <v>3</v>
      </c>
      <c r="R4" s="1" cm="1">
        <f t="array" ref="R4:T9">_xlfn.CHOOSEROWS(_xlfn.HSTACK(_xlfn.ANCHORARRAY(V4),_xlfn.ANCHORARRAY(W4),_xlfn.ANCHORARRAY(X4)),$Q$4:$Q$9)</f>
        <v>7.9914062223164883E-2</v>
      </c>
      <c r="S4" s="1">
        <v>5.8865576143748877E-2</v>
      </c>
      <c r="T4" s="1">
        <v>1.370713514294164E-2</v>
      </c>
      <c r="U4" s="3"/>
      <c r="V4" s="1" cm="1">
        <f t="array" ref="V4:V122">Trailing(_xlfn.ANCHORARRAY(F$4), Returns)</f>
        <v>5.9804999999999886E-2</v>
      </c>
      <c r="W4" s="1" cm="1">
        <f t="array" ref="W4:W122">Trailing(_xlfn.ANCHORARRAY(G$4), Returns)</f>
        <v>2.135700000000007E-2</v>
      </c>
      <c r="X4" s="1" cm="1">
        <f t="array" ref="X4:X122">Trailing(_xlfn.ANCHORARRAY(H$4), Returns)</f>
        <v>4.3830000000000258E-3</v>
      </c>
      <c r="Z4" s="1" t="e" cm="1">
        <f t="array" ref="Z4:Z122">Rolling(_xlfn.ANCHORARRAY(F$4),$AA$2,Returns)</f>
        <v>#N/A</v>
      </c>
      <c r="AA4" s="1" t="e" cm="1">
        <f t="array" ref="AA4:AA122">Rolling(_xlfn.ANCHORARRAY(G$4),$AA$2,Returns)</f>
        <v>#N/A</v>
      </c>
      <c r="AB4" s="1" t="e" cm="1">
        <f t="array" ref="AB4:AB122">Rolling(_xlfn.ANCHORARRAY(H$4),$AA$2,Returns)</f>
        <v>#N/A</v>
      </c>
      <c r="AD4" s="1" t="e" cm="1">
        <f t="array" ref="AD4:AD122">Rolling(_xlfn.ANCHORARRAY($F$4),$AA$2,_xleta.STDEV)*SQRT(12)</f>
        <v>#N/A</v>
      </c>
      <c r="AF4" s="5" t="e" cm="1">
        <f t="array" ref="AF4:AF122">Rolling(_xlfn.HSTACK(_xlfn.ANCHORARRAY($F$4),_xlfn.ANCHORARRAY($G$4)),$AA$2,Beta)</f>
        <v>#N/A</v>
      </c>
      <c r="AH4" s="1" t="e" cm="1">
        <f t="array" ref="AH4:AH122">Rolling(_xlfn.HSTACK(_xlfn.ANCHORARRAY($F$4),_xlfn.ANCHORARRAY($G$4)),$AA$2,Alpha)</f>
        <v>#N/A</v>
      </c>
      <c r="AI4" s="1" t="e" cm="1">
        <f t="array" ref="AI4:AI122">Rolling(_xlfn.HSTACK(_xlfn.ANCHORARRAY($F$4)-_xlfn.ANCHORARRAY($H$4),_xlfn.ANCHORARRAY($G$4)-_xlfn.ANCHORARRAY($H$4)),$AA$2,Alpha)</f>
        <v>#N/A</v>
      </c>
      <c r="AK4" s="2" t="s">
        <v>24</v>
      </c>
      <c r="AP4" s="22">
        <v>41973</v>
      </c>
      <c r="AQ4" s="16" cm="1">
        <f t="array" ref="AQ4:AR14">CalendarYear(B4:B122,AP4:AP122,Returns)</f>
        <v>2014</v>
      </c>
      <c r="AR4" s="3">
        <v>-1.1829022844000003E-2</v>
      </c>
      <c r="AT4" s="1" t="e" cm="1">
        <f t="array" ref="AT4:AT122">Cumulative(_xlfn.ANCHORARRAY(F4),_xleta.STDEV.S)*SQRT(12)</f>
        <v>#DIV/0!</v>
      </c>
    </row>
    <row r="5" spans="1:46" x14ac:dyDescent="0.25">
      <c r="A5" s="2">
        <v>2</v>
      </c>
      <c r="B5" s="1">
        <v>-2.0181000000000001E-2</v>
      </c>
      <c r="C5" s="1">
        <v>-2.519E-3</v>
      </c>
      <c r="D5" s="1">
        <v>1.2E-5</v>
      </c>
      <c r="F5" s="1">
        <v>-2.0181000000000001E-2</v>
      </c>
      <c r="G5" s="1">
        <v>-2.519E-3</v>
      </c>
      <c r="H5" s="1">
        <v>1.2E-5</v>
      </c>
      <c r="J5" s="4">
        <v>988.17097715600005</v>
      </c>
      <c r="K5" s="4">
        <v>1024.3082514949999</v>
      </c>
      <c r="M5" s="1">
        <v>-2.0181000000000004E-2</v>
      </c>
      <c r="N5" s="1">
        <v>-2.519000000000049E-3</v>
      </c>
      <c r="Q5" s="2">
        <v>9</v>
      </c>
      <c r="R5" s="1">
        <v>-9.2545987877166946E-2</v>
      </c>
      <c r="S5" s="1">
        <v>0.22078665609315817</v>
      </c>
      <c r="T5" s="1">
        <v>4.1684528120981224E-2</v>
      </c>
      <c r="U5" s="3"/>
      <c r="V5" s="1">
        <v>4.3837977869999767E-2</v>
      </c>
      <c r="W5" s="1">
        <v>4.6132056749000006E-2</v>
      </c>
      <c r="X5" s="1">
        <v>9.0152143960000597E-3</v>
      </c>
      <c r="Z5" s="1" t="e">
        <v>#N/A</v>
      </c>
      <c r="AA5" s="1" t="e">
        <v>#N/A</v>
      </c>
      <c r="AB5" s="1" t="e">
        <v>#N/A</v>
      </c>
      <c r="AD5" s="1" t="e">
        <v>#N/A</v>
      </c>
      <c r="AF5" s="4" t="e">
        <v>#N/A</v>
      </c>
      <c r="AH5" s="1" t="e">
        <v>#N/A</v>
      </c>
      <c r="AI5" s="1" t="e">
        <v>#N/A</v>
      </c>
      <c r="AK5" s="2" t="s">
        <v>25</v>
      </c>
      <c r="AL5" s="12">
        <v>0.95</v>
      </c>
      <c r="AM5" s="1">
        <f>AVERAGE(_xlfn.ANCHORARRAY(F$4))-_xlfn.NORM.S.INV($AL$5)*STDEV(_xlfn.ANCHORARRAY(F$4))</f>
        <v>-0.15350673952331814</v>
      </c>
      <c r="AN5" s="1">
        <f>AVERAGE(_xlfn.ANCHORARRAY(G$4))-_xlfn.NORM.S.INV($AL$5)*STDEV(_xlfn.ANCHORARRAY(G$4))</f>
        <v>-6.1303341706451533E-2</v>
      </c>
      <c r="AO5" s="1"/>
      <c r="AP5" s="22">
        <v>42004</v>
      </c>
      <c r="AQ5" s="16">
        <v>2015</v>
      </c>
      <c r="AR5" s="3">
        <v>3.7843207914226129E-2</v>
      </c>
      <c r="AT5" s="1">
        <v>7.0312603066591123E-2</v>
      </c>
    </row>
    <row r="6" spans="1:46" x14ac:dyDescent="0.25">
      <c r="A6" s="2">
        <v>3</v>
      </c>
      <c r="B6" s="1">
        <v>4.1240000000000001E-3</v>
      </c>
      <c r="C6" s="1">
        <v>-3.0019000000000001E-2</v>
      </c>
      <c r="D6" s="1">
        <v>1.8E-5</v>
      </c>
      <c r="F6" s="1">
        <v>4.1240000000000001E-3</v>
      </c>
      <c r="G6" s="1">
        <v>-3.0019000000000001E-2</v>
      </c>
      <c r="H6" s="1">
        <v>1.8E-5</v>
      </c>
      <c r="J6" s="4">
        <v>992.24619426579136</v>
      </c>
      <c r="K6" s="4">
        <v>993.55954209337153</v>
      </c>
      <c r="M6" s="1">
        <v>-1.6140226444000039E-2</v>
      </c>
      <c r="N6" s="1">
        <v>-3.246238213899999E-2</v>
      </c>
      <c r="Q6" s="2">
        <v>12</v>
      </c>
      <c r="R6" s="1">
        <v>0.20066499774636437</v>
      </c>
      <c r="S6" s="1">
        <v>0.36351514398749196</v>
      </c>
      <c r="T6" s="1">
        <v>5.6323650536304504E-2</v>
      </c>
      <c r="U6" s="3"/>
      <c r="V6" s="1">
        <v>7.9914062223164883E-2</v>
      </c>
      <c r="W6" s="1">
        <v>5.8865576143748877E-2</v>
      </c>
      <c r="X6" s="1">
        <v>1.370713514294164E-2</v>
      </c>
      <c r="Z6" s="1" t="e">
        <v>#N/A</v>
      </c>
      <c r="AA6" s="1" t="e">
        <v>#N/A</v>
      </c>
      <c r="AB6" s="1" t="e">
        <v>#N/A</v>
      </c>
      <c r="AD6" s="1" t="e">
        <v>#N/A</v>
      </c>
      <c r="AF6" s="4" t="e">
        <v>#N/A</v>
      </c>
      <c r="AH6" s="1" t="e">
        <v>#N/A</v>
      </c>
      <c r="AI6" s="1" t="e">
        <v>#N/A</v>
      </c>
      <c r="AK6" s="2" t="s">
        <v>26</v>
      </c>
      <c r="AL6" s="12">
        <v>0.95</v>
      </c>
      <c r="AM6" s="1">
        <f>AVERAGEIF(_xlfn.ANCHORARRAY(F$4),"&lt;="&amp;AM5)</f>
        <v>-0.19925480000000001</v>
      </c>
      <c r="AN6" s="1">
        <f>AVERAGEIF(_xlfn.ANCHORARRAY(G$4),"&lt;="&amp;AN5)</f>
        <v>-8.6233249999999997E-2</v>
      </c>
      <c r="AO6" s="1"/>
      <c r="AP6" s="22">
        <v>42035</v>
      </c>
      <c r="AQ6" s="16">
        <v>2016</v>
      </c>
      <c r="AR6" s="3">
        <v>-3.329799706963632E-2</v>
      </c>
      <c r="AT6" s="1">
        <v>5.3555019372604096E-2</v>
      </c>
    </row>
    <row r="7" spans="1:46" x14ac:dyDescent="0.25">
      <c r="A7" s="2">
        <v>4</v>
      </c>
      <c r="B7" s="1">
        <v>6.2081999999999998E-2</v>
      </c>
      <c r="C7" s="1">
        <v>5.7472000000000002E-2</v>
      </c>
      <c r="D7" s="1">
        <v>1.7E-5</v>
      </c>
      <c r="F7" s="1">
        <v>6.2081999999999998E-2</v>
      </c>
      <c r="G7" s="1">
        <v>5.7472000000000002E-2</v>
      </c>
      <c r="H7" s="1">
        <v>1.7E-5</v>
      </c>
      <c r="J7" s="4">
        <v>1053.8468224982003</v>
      </c>
      <c r="K7" s="4">
        <v>1050.6613960965617</v>
      </c>
      <c r="M7" s="1">
        <v>0</v>
      </c>
      <c r="N7" s="1">
        <v>0</v>
      </c>
      <c r="Q7" s="2">
        <v>36</v>
      </c>
      <c r="R7" s="1">
        <v>-0.24301121343618559</v>
      </c>
      <c r="S7" s="1">
        <v>0.11914174875732386</v>
      </c>
      <c r="T7" s="1">
        <v>3.634725561989427E-2</v>
      </c>
      <c r="U7" s="3"/>
      <c r="V7" s="1">
        <v>0.11726396997921551</v>
      </c>
      <c r="W7" s="1">
        <v>9.6859790746938845E-2</v>
      </c>
      <c r="X7" s="1">
        <v>1.8269830958220101E-2</v>
      </c>
      <c r="Z7" s="1" t="e">
        <v>#N/A</v>
      </c>
      <c r="AA7" s="1" t="e">
        <v>#N/A</v>
      </c>
      <c r="AB7" s="1" t="e">
        <v>#N/A</v>
      </c>
      <c r="AD7" s="1" t="e">
        <v>#N/A</v>
      </c>
      <c r="AF7" s="4" t="e">
        <v>#N/A</v>
      </c>
      <c r="AH7" s="1" t="e">
        <v>#N/A</v>
      </c>
      <c r="AI7" s="1" t="e">
        <v>#N/A</v>
      </c>
      <c r="AM7" s="1">
        <f>AVERAGE(_xlfn.ANCHORARRAY(F$4))-_xlfn.NORM.S.DIST(_xlfn.NORM.S.INV($AL$6),FALSE)/(1-$AL$6)*STDEV(_xlfn.ANCHORARRAY(F$4))</f>
        <v>-0.19555305713415286</v>
      </c>
      <c r="AP7" s="22">
        <v>42063</v>
      </c>
      <c r="AQ7" s="16">
        <v>2017</v>
      </c>
      <c r="AR7" s="3">
        <v>0.82260184933699532</v>
      </c>
      <c r="AT7" s="1">
        <v>0.12012019125442649</v>
      </c>
    </row>
    <row r="8" spans="1:46" x14ac:dyDescent="0.25">
      <c r="A8" s="2">
        <v>5</v>
      </c>
      <c r="B8" s="1">
        <v>-3.5890999999999999E-2</v>
      </c>
      <c r="C8" s="1">
        <v>-1.5814000000000002E-2</v>
      </c>
      <c r="D8" s="1">
        <v>2.0000000000000002E-5</v>
      </c>
      <c r="F8" s="1">
        <v>-3.5890999999999999E-2</v>
      </c>
      <c r="G8" s="1">
        <v>-1.5814000000000002E-2</v>
      </c>
      <c r="H8" s="1">
        <v>2.0000000000000002E-5</v>
      </c>
      <c r="J8" s="4">
        <v>1016.0232061919173</v>
      </c>
      <c r="K8" s="4">
        <v>1034.0462367786906</v>
      </c>
      <c r="M8" s="1">
        <v>-3.5891000000000006E-2</v>
      </c>
      <c r="N8" s="1">
        <v>-1.5813999999999995E-2</v>
      </c>
      <c r="Q8" s="2">
        <v>60</v>
      </c>
      <c r="R8" s="1">
        <v>1.611777595284658E-2</v>
      </c>
      <c r="S8" s="1">
        <v>0.15977877463995838</v>
      </c>
      <c r="T8" s="1">
        <v>2.384798315418224E-2</v>
      </c>
      <c r="U8" s="3"/>
      <c r="V8" s="1">
        <v>9.1203787879450271E-2</v>
      </c>
      <c r="W8" s="1">
        <v>0.15124758347112599</v>
      </c>
      <c r="X8" s="1">
        <v>2.3002749132513767E-2</v>
      </c>
      <c r="Z8" s="1" t="e">
        <v>#N/A</v>
      </c>
      <c r="AA8" s="1" t="e">
        <v>#N/A</v>
      </c>
      <c r="AB8" s="1" t="e">
        <v>#N/A</v>
      </c>
      <c r="AD8" s="1" t="e">
        <v>#N/A</v>
      </c>
      <c r="AF8" s="4" t="e">
        <v>#N/A</v>
      </c>
      <c r="AH8" s="1" t="e">
        <v>#N/A</v>
      </c>
      <c r="AI8" s="1" t="e">
        <v>#N/A</v>
      </c>
      <c r="AP8" s="22">
        <v>42094</v>
      </c>
      <c r="AQ8" s="16">
        <v>2018</v>
      </c>
      <c r="AR8" s="3">
        <v>1.0341804998269977E-2</v>
      </c>
      <c r="AT8" s="1">
        <v>0.12926314005005446</v>
      </c>
    </row>
    <row r="9" spans="1:46" x14ac:dyDescent="0.25">
      <c r="A9" s="2">
        <v>6</v>
      </c>
      <c r="B9" s="1">
        <v>1.1367E-2</v>
      </c>
      <c r="C9" s="1">
        <v>9.5930000000000008E-3</v>
      </c>
      <c r="D9" s="1">
        <v>1.5999999999999999E-5</v>
      </c>
      <c r="F9" s="1">
        <v>1.1367E-2</v>
      </c>
      <c r="G9" s="1">
        <v>9.5930000000000008E-3</v>
      </c>
      <c r="H9" s="1">
        <v>1.5999999999999999E-5</v>
      </c>
      <c r="J9" s="4">
        <v>1027.5723419767007</v>
      </c>
      <c r="K9" s="4">
        <v>1043.9658423281085</v>
      </c>
      <c r="M9" s="1">
        <v>-2.4931972997000118E-2</v>
      </c>
      <c r="N9" s="1">
        <v>-6.3727037020001598E-3</v>
      </c>
      <c r="Q9" s="2">
        <f>COUNT(_xlfn.ANCHORARRAY(F$4))</f>
        <v>119</v>
      </c>
      <c r="R9" s="1">
        <v>8.7563887667752249E-2</v>
      </c>
      <c r="S9" s="1">
        <v>0.13221712224147386</v>
      </c>
      <c r="T9" s="1">
        <v>1.6815448215374618E-2</v>
      </c>
      <c r="U9" s="3"/>
      <c r="V9" s="1">
        <v>-5.2662701922152277E-2</v>
      </c>
      <c r="W9" s="1">
        <v>0.10422487592424767</v>
      </c>
      <c r="X9" s="1">
        <v>2.759500847336982E-2</v>
      </c>
      <c r="Z9" s="1" t="e">
        <v>#N/A</v>
      </c>
      <c r="AA9" s="1" t="e">
        <v>#N/A</v>
      </c>
      <c r="AB9" s="1" t="e">
        <v>#N/A</v>
      </c>
      <c r="AD9" s="1" t="e">
        <v>#N/A</v>
      </c>
      <c r="AF9" s="4" t="e">
        <v>#N/A</v>
      </c>
      <c r="AH9" s="1" t="e">
        <v>#N/A</v>
      </c>
      <c r="AI9" s="1" t="e">
        <v>#N/A</v>
      </c>
      <c r="AP9" s="22">
        <v>42124</v>
      </c>
      <c r="AQ9" s="16">
        <v>2019</v>
      </c>
      <c r="AR9" s="3">
        <v>0.34746578538570283</v>
      </c>
      <c r="AT9" s="1">
        <v>0.11611962007688449</v>
      </c>
    </row>
    <row r="10" spans="1:46" x14ac:dyDescent="0.25">
      <c r="A10" s="2">
        <v>7</v>
      </c>
      <c r="B10" s="1">
        <v>2.3616999999999999E-2</v>
      </c>
      <c r="C10" s="1">
        <v>1.2859000000000001E-2</v>
      </c>
      <c r="D10" s="1">
        <v>1.4E-5</v>
      </c>
      <c r="F10" s="1">
        <v>2.3616999999999999E-2</v>
      </c>
      <c r="G10" s="1">
        <v>1.2859000000000001E-2</v>
      </c>
      <c r="H10" s="1">
        <v>1.4E-5</v>
      </c>
      <c r="J10" s="4">
        <v>1051.8405179771644</v>
      </c>
      <c r="K10" s="4">
        <v>1057.3901990946056</v>
      </c>
      <c r="M10" s="1">
        <v>-1.9037914032703496E-3</v>
      </c>
      <c r="N10" s="1">
        <v>0</v>
      </c>
      <c r="P10" s="2" t="s">
        <v>11</v>
      </c>
      <c r="V10" s="1">
        <v>-7.3777902959009545E-2</v>
      </c>
      <c r="W10" s="1">
        <v>0.13975331130711033</v>
      </c>
      <c r="X10" s="1">
        <v>3.2357911337643763E-2</v>
      </c>
      <c r="Z10" s="1" t="e">
        <v>#N/A</v>
      </c>
      <c r="AA10" s="1" t="e">
        <v>#N/A</v>
      </c>
      <c r="AB10" s="1" t="e">
        <v>#N/A</v>
      </c>
      <c r="AD10" s="1" t="e">
        <v>#N/A</v>
      </c>
      <c r="AF10" s="4" t="e">
        <v>#N/A</v>
      </c>
      <c r="AH10" s="1" t="e">
        <v>#N/A</v>
      </c>
      <c r="AI10" s="1" t="e">
        <v>#N/A</v>
      </c>
      <c r="AP10" s="22">
        <v>42155</v>
      </c>
      <c r="AQ10" s="16">
        <v>2020</v>
      </c>
      <c r="AR10" s="3">
        <v>1.4159712010444485</v>
      </c>
      <c r="AT10" s="1">
        <v>0.10876748031334679</v>
      </c>
    </row>
    <row r="11" spans="1:46" x14ac:dyDescent="0.25">
      <c r="A11" s="2">
        <v>8</v>
      </c>
      <c r="B11" s="1">
        <v>-5.476E-3</v>
      </c>
      <c r="C11" s="1">
        <v>-1.9358E-2</v>
      </c>
      <c r="D11" s="1">
        <v>1.1E-5</v>
      </c>
      <c r="F11" s="1">
        <v>-5.476E-3</v>
      </c>
      <c r="G11" s="1">
        <v>-1.9358E-2</v>
      </c>
      <c r="H11" s="1">
        <v>1.1E-5</v>
      </c>
      <c r="J11" s="4">
        <v>1046.0806393007215</v>
      </c>
      <c r="K11" s="4">
        <v>1036.9212396205321</v>
      </c>
      <c r="M11" s="1">
        <v>-7.3693662415460492E-3</v>
      </c>
      <c r="N11" s="1">
        <v>-1.9358000000000097E-2</v>
      </c>
      <c r="V11" s="1">
        <v>4.5857574205290019E-2</v>
      </c>
      <c r="W11" s="1">
        <v>0.20061157911766481</v>
      </c>
      <c r="X11" s="1">
        <v>3.6841441746583214E-2</v>
      </c>
      <c r="Z11" s="1" t="e">
        <v>#N/A</v>
      </c>
      <c r="AA11" s="1" t="e">
        <v>#N/A</v>
      </c>
      <c r="AB11" s="1" t="e">
        <v>#N/A</v>
      </c>
      <c r="AD11" s="1" t="e">
        <v>#N/A</v>
      </c>
      <c r="AF11" s="4" t="e">
        <v>#N/A</v>
      </c>
      <c r="AH11" s="1" t="e">
        <v>#N/A</v>
      </c>
      <c r="AI11" s="1" t="e">
        <v>#N/A</v>
      </c>
      <c r="AP11" s="22">
        <v>42185</v>
      </c>
      <c r="AQ11" s="16">
        <v>2021</v>
      </c>
      <c r="AR11" s="3">
        <v>-0.23168069717030226</v>
      </c>
      <c r="AT11" s="1">
        <v>0.10197680263527722</v>
      </c>
    </row>
    <row r="12" spans="1:46" x14ac:dyDescent="0.25">
      <c r="A12" s="2">
        <v>9</v>
      </c>
      <c r="B12" s="1">
        <v>6.8869999999999999E-3</v>
      </c>
      <c r="C12" s="1">
        <v>2.0951000000000001E-2</v>
      </c>
      <c r="D12" s="1">
        <v>9.0000000000000002E-6</v>
      </c>
      <c r="F12" s="1">
        <v>6.8869999999999999E-3</v>
      </c>
      <c r="G12" s="1">
        <v>2.0951000000000001E-2</v>
      </c>
      <c r="H12" s="1">
        <v>9.0000000000000002E-6</v>
      </c>
      <c r="J12" s="4">
        <v>1053.2849966635856</v>
      </c>
      <c r="K12" s="4">
        <v>1058.6457765118219</v>
      </c>
      <c r="M12" s="1">
        <v>-5.3311906685149513E-4</v>
      </c>
      <c r="N12" s="1">
        <v>0</v>
      </c>
      <c r="P12" s="6" t="s">
        <v>6</v>
      </c>
      <c r="V12" s="1">
        <v>-9.2545987877166946E-2</v>
      </c>
      <c r="W12" s="1">
        <v>0.22078665609315817</v>
      </c>
      <c r="X12" s="1">
        <v>4.1684528120981224E-2</v>
      </c>
      <c r="Z12" s="1" t="e">
        <v>#N/A</v>
      </c>
      <c r="AA12" s="1" t="e">
        <v>#N/A</v>
      </c>
      <c r="AB12" s="1" t="e">
        <v>#N/A</v>
      </c>
      <c r="AD12" s="1" t="e">
        <v>#N/A</v>
      </c>
      <c r="AF12" s="4" t="e">
        <v>#N/A</v>
      </c>
      <c r="AH12" s="1" t="e">
        <v>#N/A</v>
      </c>
      <c r="AI12" s="1" t="e">
        <v>#N/A</v>
      </c>
      <c r="AP12" s="22">
        <v>42216</v>
      </c>
      <c r="AQ12" s="16">
        <v>2022</v>
      </c>
      <c r="AR12" s="3">
        <v>-0.66975290633071971</v>
      </c>
      <c r="AT12" s="1">
        <v>9.5395808398482579E-2</v>
      </c>
    </row>
    <row r="13" spans="1:46" x14ac:dyDescent="0.25">
      <c r="A13" s="2">
        <v>10</v>
      </c>
      <c r="B13" s="1">
        <v>-6.5061999999999995E-2</v>
      </c>
      <c r="C13" s="1">
        <v>-6.0333999999999999E-2</v>
      </c>
      <c r="D13" s="1">
        <v>2.5000000000000001E-5</v>
      </c>
      <c r="F13" s="1">
        <v>-6.5061999999999995E-2</v>
      </c>
      <c r="G13" s="1">
        <v>-6.0333999999999999E-2</v>
      </c>
      <c r="H13" s="1">
        <v>2.5000000000000001E-5</v>
      </c>
      <c r="J13" s="4">
        <v>984.75616821065944</v>
      </c>
      <c r="K13" s="4">
        <v>994.7734422317576</v>
      </c>
      <c r="M13" s="1">
        <v>-6.5560433274123975E-2</v>
      </c>
      <c r="N13" s="1">
        <v>-6.0333999999999999E-2</v>
      </c>
      <c r="P13" s="2" t="s">
        <v>16</v>
      </c>
      <c r="R13" s="1" cm="1">
        <f t="array" ref="R13">UpCapture(_xlfn.ANCHORARRAY(F$4),_xlfn.ANCHORARRAY($G$4))</f>
        <v>1.5016258007908607</v>
      </c>
      <c r="S13" s="1" cm="1">
        <f t="array" ref="S13">UpCapture(_xlfn.ANCHORARRAY(G$4),_xlfn.ANCHORARRAY($G$4))</f>
        <v>1</v>
      </c>
      <c r="V13" s="1">
        <v>3.140769290875145E-2</v>
      </c>
      <c r="W13" s="1">
        <v>0.27624821466612648</v>
      </c>
      <c r="X13" s="1">
        <v>4.658565382579094E-2</v>
      </c>
      <c r="Z13" s="1" t="e">
        <v>#N/A</v>
      </c>
      <c r="AA13" s="1" t="e">
        <v>#N/A</v>
      </c>
      <c r="AB13" s="1" t="e">
        <v>#N/A</v>
      </c>
      <c r="AD13" s="1" t="e">
        <v>#N/A</v>
      </c>
      <c r="AF13" s="4" t="e">
        <v>#N/A</v>
      </c>
      <c r="AH13" s="1" t="e">
        <v>#N/A</v>
      </c>
      <c r="AI13" s="1" t="e">
        <v>#N/A</v>
      </c>
      <c r="AP13" s="22">
        <v>42247</v>
      </c>
      <c r="AQ13" s="16">
        <v>2023</v>
      </c>
      <c r="AR13" s="3">
        <v>0.67988063363654616</v>
      </c>
      <c r="AT13" s="1">
        <v>0.11903339518471276</v>
      </c>
    </row>
    <row r="14" spans="1:46" x14ac:dyDescent="0.25">
      <c r="A14" s="2">
        <v>11</v>
      </c>
      <c r="B14" s="1">
        <v>-5.8354000000000003E-2</v>
      </c>
      <c r="C14" s="1">
        <v>-2.4743000000000001E-2</v>
      </c>
      <c r="D14" s="1">
        <v>2.5999999999999998E-5</v>
      </c>
      <c r="F14" s="1">
        <v>-5.8354000000000003E-2</v>
      </c>
      <c r="G14" s="1">
        <v>-2.4743000000000001E-2</v>
      </c>
      <c r="H14" s="1">
        <v>2.5999999999999998E-5</v>
      </c>
      <c r="J14" s="4">
        <v>927.29170677089462</v>
      </c>
      <c r="K14" s="4">
        <v>970.15976295061728</v>
      </c>
      <c r="M14" s="1">
        <v>-0.12008871975084567</v>
      </c>
      <c r="N14" s="1">
        <v>-8.3584155837999941E-2</v>
      </c>
      <c r="P14" s="2" t="s">
        <v>17</v>
      </c>
      <c r="R14" s="1" cm="1">
        <f t="array" ref="R14">DownCapture(_xlfn.ANCHORARRAY(F$4),_xlfn.ANCHORARRAY($G$4))</f>
        <v>1.5850060736469804</v>
      </c>
      <c r="S14" s="1" cm="1">
        <f t="array" ref="S14">DownCapture(_xlfn.ANCHORARRAY(G$4),_xlfn.ANCHORARRAY($G$4))</f>
        <v>1</v>
      </c>
      <c r="V14" s="1">
        <v>0.35644757606740129</v>
      </c>
      <c r="W14" s="1">
        <v>0.39280158287051048</v>
      </c>
      <c r="X14" s="1">
        <v>5.137064343508202E-2</v>
      </c>
      <c r="Z14" s="1" t="e">
        <v>#N/A</v>
      </c>
      <c r="AA14" s="1" t="e">
        <v>#N/A</v>
      </c>
      <c r="AB14" s="1" t="e">
        <v>#N/A</v>
      </c>
      <c r="AD14" s="1" t="e">
        <v>#N/A</v>
      </c>
      <c r="AF14" s="4" t="e">
        <v>#N/A</v>
      </c>
      <c r="AH14" s="1" t="e">
        <v>#N/A</v>
      </c>
      <c r="AI14" s="1" t="e">
        <v>#N/A</v>
      </c>
      <c r="AP14" s="22">
        <v>42277</v>
      </c>
      <c r="AQ14" s="16">
        <v>2024</v>
      </c>
      <c r="AR14" s="3">
        <v>-9.2545987877166946E-2</v>
      </c>
      <c r="AT14" s="1">
        <v>0.12782983494772898</v>
      </c>
    </row>
    <row r="15" spans="1:46" x14ac:dyDescent="0.25">
      <c r="A15" s="2">
        <v>12</v>
      </c>
      <c r="B15" s="1">
        <v>5.3003000000000002E-2</v>
      </c>
      <c r="C15" s="1">
        <v>8.4353999999999998E-2</v>
      </c>
      <c r="D15" s="1">
        <v>2.4000000000000001E-5</v>
      </c>
      <c r="F15" s="1">
        <v>5.3003000000000002E-2</v>
      </c>
      <c r="G15" s="1">
        <v>8.4353999999999998E-2</v>
      </c>
      <c r="H15" s="1">
        <v>2.4000000000000001E-5</v>
      </c>
      <c r="J15" s="4">
        <v>976.44094910487229</v>
      </c>
      <c r="K15" s="4">
        <v>1051.9966195945537</v>
      </c>
      <c r="M15" s="1">
        <v>-7.3450782163799855E-2</v>
      </c>
      <c r="N15" s="1">
        <v>-6.2808137195584646E-3</v>
      </c>
      <c r="V15" s="1">
        <v>0.20066499774636437</v>
      </c>
      <c r="W15" s="1">
        <v>0.36351514398749196</v>
      </c>
      <c r="X15" s="1">
        <v>5.6323650536304504E-2</v>
      </c>
      <c r="Z15" s="1">
        <v>-2.3559050895127776E-2</v>
      </c>
      <c r="AA15" s="1">
        <v>5.1996619594553817E-2</v>
      </c>
      <c r="AB15" s="1">
        <v>2.0701946909973401E-4</v>
      </c>
      <c r="AD15" s="1">
        <v>0.13550542321250467</v>
      </c>
      <c r="AF15" s="4">
        <v>0.85813584740761462</v>
      </c>
      <c r="AH15" s="1">
        <v>-6.4302391411219961E-2</v>
      </c>
      <c r="AI15" s="1">
        <v>-6.4331773210530852E-2</v>
      </c>
      <c r="AP15" s="22">
        <v>42308</v>
      </c>
      <c r="AT15" s="1">
        <v>0.13550542321250467</v>
      </c>
    </row>
    <row r="16" spans="1:46" x14ac:dyDescent="0.25">
      <c r="A16" s="2">
        <v>13</v>
      </c>
      <c r="B16" s="1">
        <v>6.5224000000000004E-2</v>
      </c>
      <c r="C16" s="1">
        <v>2.9740000000000001E-3</v>
      </c>
      <c r="D16" s="1">
        <v>2.8E-5</v>
      </c>
      <c r="F16" s="1">
        <v>6.5224000000000004E-2</v>
      </c>
      <c r="G16" s="1">
        <v>2.9740000000000001E-3</v>
      </c>
      <c r="H16" s="1">
        <v>2.8E-5</v>
      </c>
      <c r="J16" s="4">
        <v>1040.1283335692883</v>
      </c>
      <c r="K16" s="4">
        <v>1055.1252575412279</v>
      </c>
      <c r="M16" s="1">
        <v>-1.3017535979651718E-2</v>
      </c>
      <c r="N16" s="1">
        <v>-3.3254928595605193E-3</v>
      </c>
      <c r="P16" s="6" t="s">
        <v>4</v>
      </c>
      <c r="R16" s="1">
        <f>MIN(Underwater(_xlfn.ANCHORARRAY(F$4)))</f>
        <v>-0.77021503984271789</v>
      </c>
      <c r="S16" s="1">
        <f>MIN(Underwater(_xlfn.ANCHORARRAY(G$4)))</f>
        <v>-0.23867292706161114</v>
      </c>
      <c r="V16" s="1">
        <v>8.0509912669050054E-2</v>
      </c>
      <c r="W16" s="1">
        <v>0.27267448772030867</v>
      </c>
      <c r="X16" s="1">
        <v>5.6263801745375597E-2</v>
      </c>
      <c r="Z16" s="1">
        <v>3.1337215147372088E-2</v>
      </c>
      <c r="AA16" s="1">
        <v>2.7490890053246009E-2</v>
      </c>
      <c r="AB16" s="1">
        <v>2.2002196531523133E-4</v>
      </c>
      <c r="AD16" s="1">
        <v>0.15096176220246213</v>
      </c>
      <c r="AF16" s="4">
        <v>0.87109777941719124</v>
      </c>
      <c r="AH16" s="1">
        <v>1.053977562557562E-2</v>
      </c>
      <c r="AI16" s="1">
        <v>1.0511352237336125E-2</v>
      </c>
      <c r="AP16" s="22">
        <v>42338</v>
      </c>
      <c r="AT16" s="1">
        <v>0.14461723419001357</v>
      </c>
    </row>
    <row r="17" spans="1:46" x14ac:dyDescent="0.25">
      <c r="A17" s="2">
        <v>14</v>
      </c>
      <c r="B17" s="1">
        <v>-1.4E-2</v>
      </c>
      <c r="C17" s="1">
        <v>-1.5772000000000001E-2</v>
      </c>
      <c r="D17" s="1">
        <v>7.7000000000000001E-5</v>
      </c>
      <c r="F17" s="1">
        <v>-1.4E-2</v>
      </c>
      <c r="G17" s="1">
        <v>-1.5772000000000001E-2</v>
      </c>
      <c r="H17" s="1">
        <v>7.7000000000000001E-5</v>
      </c>
      <c r="J17" s="4">
        <v>1025.5665368993182</v>
      </c>
      <c r="K17" s="4">
        <v>1038.4838219792878</v>
      </c>
      <c r="M17" s="1">
        <v>-2.6835290475936691E-2</v>
      </c>
      <c r="N17" s="1">
        <v>-1.9045043186179389E-2</v>
      </c>
      <c r="V17" s="1">
        <v>-4.7991533787886453E-2</v>
      </c>
      <c r="W17" s="1">
        <v>0.23385133030654748</v>
      </c>
      <c r="X17" s="1">
        <v>5.6334173850364877E-2</v>
      </c>
      <c r="Z17" s="1">
        <v>3.7843207914226129E-2</v>
      </c>
      <c r="AA17" s="1">
        <v>1.3839164590930597E-2</v>
      </c>
      <c r="AB17" s="1">
        <v>2.8503548658087574E-4</v>
      </c>
      <c r="AD17" s="1">
        <v>0.15003013853192662</v>
      </c>
      <c r="AF17" s="4">
        <v>0.86745401988514381</v>
      </c>
      <c r="AH17" s="1">
        <v>2.8665477069229839E-2</v>
      </c>
      <c r="AI17" s="1">
        <v>2.8626277080422868E-2</v>
      </c>
      <c r="AP17" s="22">
        <v>42369</v>
      </c>
      <c r="AT17" s="1">
        <v>0.13992151887570228</v>
      </c>
    </row>
    <row r="18" spans="1:46" x14ac:dyDescent="0.25">
      <c r="A18" s="2">
        <v>15</v>
      </c>
      <c r="B18" s="1">
        <v>-0.17685000000000001</v>
      </c>
      <c r="C18" s="1">
        <v>-4.9624000000000001E-2</v>
      </c>
      <c r="D18" s="1">
        <v>1.25E-4</v>
      </c>
      <c r="F18" s="1">
        <v>-0.17685000000000001</v>
      </c>
      <c r="G18" s="1">
        <v>-4.9624000000000001E-2</v>
      </c>
      <c r="H18" s="1">
        <v>1.25E-4</v>
      </c>
      <c r="J18" s="4">
        <v>844.19509484867376</v>
      </c>
      <c r="K18" s="4">
        <v>986.95010079738756</v>
      </c>
      <c r="M18" s="1">
        <v>-0.1989394693552673</v>
      </c>
      <c r="N18" s="1">
        <v>-6.7723951963108431E-2</v>
      </c>
      <c r="P18" s="6" t="s">
        <v>9</v>
      </c>
      <c r="V18" s="1">
        <v>6.2541922971116604E-2</v>
      </c>
      <c r="W18" s="1">
        <v>0.24785603243580168</v>
      </c>
      <c r="X18" s="1">
        <v>5.6316092834522102E-2</v>
      </c>
      <c r="Z18" s="1">
        <v>-0.1492080294917808</v>
      </c>
      <c r="AA18" s="1">
        <v>-6.652285057881957E-3</v>
      </c>
      <c r="AB18" s="1">
        <v>3.9206405886371698E-4</v>
      </c>
      <c r="AD18" s="1">
        <v>0.23493809452840206</v>
      </c>
      <c r="AF18" s="4">
        <v>1.2750337989272391</v>
      </c>
      <c r="AH18" s="1">
        <v>-0.12846502995916775</v>
      </c>
      <c r="AI18" s="1">
        <v>-0.12837077719784906</v>
      </c>
      <c r="AP18" s="22">
        <v>42400</v>
      </c>
      <c r="AT18" s="1">
        <v>0.20959592363729651</v>
      </c>
    </row>
    <row r="19" spans="1:46" x14ac:dyDescent="0.25">
      <c r="A19" s="2">
        <v>16</v>
      </c>
      <c r="B19" s="1">
        <v>4.3880000000000004E-3</v>
      </c>
      <c r="C19" s="1">
        <v>-1.3489999999999999E-3</v>
      </c>
      <c r="D19" s="1">
        <v>1.8000000000000001E-4</v>
      </c>
      <c r="F19" s="1">
        <v>4.3880000000000004E-3</v>
      </c>
      <c r="G19" s="1">
        <v>-1.3489999999999999E-3</v>
      </c>
      <c r="H19" s="1">
        <v>1.8000000000000001E-4</v>
      </c>
      <c r="J19" s="4">
        <v>847.89942292486978</v>
      </c>
      <c r="K19" s="4">
        <v>985.61870511141183</v>
      </c>
      <c r="M19" s="1">
        <v>-0.19542441574679814</v>
      </c>
      <c r="N19" s="1">
        <v>-6.8981592351910259E-2</v>
      </c>
      <c r="P19" s="2" t="s">
        <v>15</v>
      </c>
      <c r="Q19" s="7">
        <v>0.05</v>
      </c>
      <c r="R19" s="1" cm="1">
        <f t="array" ref="R19">SortinoMar(_xlfn.ANCHORARRAY(F$4),$Q19)</f>
        <v>0.16629370923417172</v>
      </c>
      <c r="S19" s="1" cm="1">
        <f t="array" ref="S19">SortinoMar(_xlfn.ANCHORARRAY(G$4),$Q19)</f>
        <v>0.80282495290607303</v>
      </c>
      <c r="T19" s="1" cm="1">
        <f t="array" ref="T19">SortinoMar(_xlfn.ANCHORARRAY(H$4),$Q19)</f>
        <v>-3.0054423243405215</v>
      </c>
      <c r="U19" s="4"/>
      <c r="V19" s="1">
        <v>0.12904289986135753</v>
      </c>
      <c r="W19" s="1">
        <v>0.29120447323926912</v>
      </c>
      <c r="X19" s="1">
        <v>5.6065251089583823E-2</v>
      </c>
      <c r="Z19" s="1">
        <v>-0.19542441574679792</v>
      </c>
      <c r="AA19" s="1">
        <v>-6.1906425064057302E-2</v>
      </c>
      <c r="AB19" s="1">
        <v>5.5512519326583742E-4</v>
      </c>
      <c r="AD19" s="1">
        <v>0.22205823894297311</v>
      </c>
      <c r="AF19" s="4">
        <v>1.2780873975057341</v>
      </c>
      <c r="AH19" s="1">
        <v>-0.11293261180545044</v>
      </c>
      <c r="AI19" s="1">
        <v>-0.1127746915752208</v>
      </c>
      <c r="AP19" s="22">
        <v>42429</v>
      </c>
      <c r="AT19" s="1">
        <v>0.20284061936357817</v>
      </c>
    </row>
    <row r="20" spans="1:46" x14ac:dyDescent="0.25">
      <c r="A20" s="2">
        <v>17</v>
      </c>
      <c r="B20" s="1">
        <v>0.12675400000000001</v>
      </c>
      <c r="C20" s="1">
        <v>6.7837999999999996E-2</v>
      </c>
      <c r="D20" s="1">
        <v>2.33E-4</v>
      </c>
      <c r="F20" s="1">
        <v>0.12675400000000001</v>
      </c>
      <c r="G20" s="1">
        <v>6.7837999999999996E-2</v>
      </c>
      <c r="H20" s="1">
        <v>2.33E-4</v>
      </c>
      <c r="J20" s="4">
        <v>955.37406637828872</v>
      </c>
      <c r="K20" s="4">
        <v>1052.4811068287599</v>
      </c>
      <c r="M20" s="1">
        <v>-9.3441242140367753E-2</v>
      </c>
      <c r="N20" s="1">
        <v>-5.8231656138790777E-3</v>
      </c>
      <c r="P20" s="2" t="s">
        <v>12</v>
      </c>
      <c r="R20" s="1" cm="1">
        <f t="array" ref="R20">SortinoRfr(_xlfn.ANCHORARRAY(F$4),_xlfn.ANCHORARRAY($H$4))</f>
        <v>0.31977650692637055</v>
      </c>
      <c r="S20" s="1" cm="1">
        <f t="array" ref="S20">SortinoRfr(_xlfn.ANCHORARRAY(G$4),_xlfn.ANCHORARRAY($H$4))</f>
        <v>1.1773595834382169</v>
      </c>
      <c r="V20" s="1">
        <v>0.21934780504128759</v>
      </c>
      <c r="W20" s="1">
        <v>0.27583829843431817</v>
      </c>
      <c r="X20" s="1">
        <v>5.5824673851313289E-2</v>
      </c>
      <c r="Z20" s="1">
        <v>-5.96926718248324E-2</v>
      </c>
      <c r="AA20" s="1">
        <v>1.78278972393906E-2</v>
      </c>
      <c r="AB20" s="1">
        <v>7.6823917265222974E-4</v>
      </c>
      <c r="AD20" s="1">
        <v>0.26206769415761816</v>
      </c>
      <c r="AF20" s="4">
        <v>1.4391513966171741</v>
      </c>
      <c r="AH20" s="1">
        <v>-6.5844020807399817E-2</v>
      </c>
      <c r="AI20" s="1">
        <v>-6.5530988584170724E-2</v>
      </c>
      <c r="AP20" s="22">
        <v>42460</v>
      </c>
      <c r="AT20" s="1">
        <v>0.22692090145732693</v>
      </c>
    </row>
    <row r="21" spans="1:46" x14ac:dyDescent="0.25">
      <c r="A21" s="2">
        <v>18</v>
      </c>
      <c r="B21" s="1">
        <v>-6.3600000000000002E-3</v>
      </c>
      <c r="C21" s="1">
        <v>3.8769999999999998E-3</v>
      </c>
      <c r="D21" s="1">
        <v>2.3599999999999999E-4</v>
      </c>
      <c r="F21" s="1">
        <v>-6.3600000000000002E-3</v>
      </c>
      <c r="G21" s="1">
        <v>3.8769999999999998E-3</v>
      </c>
      <c r="H21" s="1">
        <v>2.3599999999999999E-4</v>
      </c>
      <c r="J21" s="4">
        <v>949.2978873161228</v>
      </c>
      <c r="K21" s="4">
        <v>1056.5615760799349</v>
      </c>
      <c r="M21" s="1">
        <v>-9.9206955840355104E-2</v>
      </c>
      <c r="N21" s="1">
        <v>-1.9687420269641764E-3</v>
      </c>
      <c r="V21" s="1">
        <v>0.1168256516485755</v>
      </c>
      <c r="W21" s="1">
        <v>0.27175125523221122</v>
      </c>
      <c r="X21" s="1">
        <v>5.543427076452212E-2</v>
      </c>
      <c r="Z21" s="1">
        <v>-7.6174154814252826E-2</v>
      </c>
      <c r="AA21" s="1">
        <v>1.2065273825182965E-2</v>
      </c>
      <c r="AB21" s="1">
        <v>9.884046626225107E-4</v>
      </c>
      <c r="AD21" s="1">
        <v>0.26165285364512347</v>
      </c>
      <c r="AF21" s="4">
        <v>1.4372128002592457</v>
      </c>
      <c r="AH21" s="1">
        <v>-7.4691665038955857E-2</v>
      </c>
      <c r="AI21" s="1">
        <v>-7.4293293844575725E-2</v>
      </c>
      <c r="AP21" s="22">
        <v>42490</v>
      </c>
      <c r="AT21" s="1">
        <v>0.22019620664325362</v>
      </c>
    </row>
    <row r="22" spans="1:46" x14ac:dyDescent="0.25">
      <c r="A22" s="2">
        <v>19</v>
      </c>
      <c r="B22" s="1">
        <v>3.0745000000000001E-2</v>
      </c>
      <c r="C22" s="1">
        <v>1.7957999999999998E-2</v>
      </c>
      <c r="D22" s="1">
        <v>2.12E-4</v>
      </c>
      <c r="F22" s="1">
        <v>3.0745000000000001E-2</v>
      </c>
      <c r="G22" s="1">
        <v>1.7957999999999998E-2</v>
      </c>
      <c r="H22" s="1">
        <v>2.12E-4</v>
      </c>
      <c r="J22" s="4">
        <v>978.48405086165701</v>
      </c>
      <c r="K22" s="4">
        <v>1075.5353088631782</v>
      </c>
      <c r="M22" s="1">
        <v>-7.1512073697666767E-2</v>
      </c>
      <c r="N22" s="1">
        <v>0</v>
      </c>
      <c r="V22" s="1">
        <v>0.12418973751848617</v>
      </c>
      <c r="W22" s="1">
        <v>0.28468660307350135</v>
      </c>
      <c r="X22" s="1">
        <v>5.5097032166315785E-2</v>
      </c>
      <c r="Z22" s="1">
        <v>-6.9741054714817285E-2</v>
      </c>
      <c r="AA22" s="1">
        <v>1.7160277997762208E-2</v>
      </c>
      <c r="AB22" s="1">
        <v>1.186597592044869E-3</v>
      </c>
      <c r="AD22" s="1">
        <v>0.26256471311399854</v>
      </c>
      <c r="AF22" s="4">
        <v>1.440039209059045</v>
      </c>
      <c r="AH22" s="1">
        <v>-7.4948690396987483E-2</v>
      </c>
      <c r="AI22" s="1">
        <v>-7.4466361074665754E-2</v>
      </c>
      <c r="AP22" s="22">
        <v>42521</v>
      </c>
      <c r="AT22" s="1">
        <v>0.21546498108989814</v>
      </c>
    </row>
    <row r="23" spans="1:46" x14ac:dyDescent="0.25">
      <c r="A23" s="2">
        <v>20</v>
      </c>
      <c r="B23" s="1">
        <v>-9.1339999999999998E-3</v>
      </c>
      <c r="C23" s="1">
        <v>2.591E-3</v>
      </c>
      <c r="D23" s="1">
        <v>2.0000000000000001E-4</v>
      </c>
      <c r="F23" s="1">
        <v>-9.1339999999999998E-3</v>
      </c>
      <c r="G23" s="1">
        <v>2.591E-3</v>
      </c>
      <c r="H23" s="1">
        <v>2.0000000000000001E-4</v>
      </c>
      <c r="J23" s="4">
        <v>969.54657754108666</v>
      </c>
      <c r="K23" s="4">
        <v>1078.3220208484427</v>
      </c>
      <c r="M23" s="1">
        <v>-7.9992882416512257E-2</v>
      </c>
      <c r="N23" s="1">
        <v>0</v>
      </c>
      <c r="V23" s="1">
        <v>0.11110626905291876</v>
      </c>
      <c r="W23" s="1">
        <v>0.25003069544315104</v>
      </c>
      <c r="X23" s="1">
        <v>5.4472095331163262E-2</v>
      </c>
      <c r="Z23" s="1">
        <v>-7.3162678749886578E-2</v>
      </c>
      <c r="AA23" s="1">
        <v>3.9926640178632455E-2</v>
      </c>
      <c r="AB23" s="1">
        <v>1.3758197775455283E-3</v>
      </c>
      <c r="AD23" s="1">
        <v>0.26262389127956004</v>
      </c>
      <c r="AF23" s="4">
        <v>1.4755994640514445</v>
      </c>
      <c r="AH23" s="1">
        <v>-0.10881469950168676</v>
      </c>
      <c r="AI23" s="1">
        <v>-0.10822659308572546</v>
      </c>
      <c r="AP23" s="22">
        <v>42551</v>
      </c>
      <c r="AT23" s="1">
        <v>0.20985834883441082</v>
      </c>
    </row>
    <row r="24" spans="1:46" x14ac:dyDescent="0.25">
      <c r="A24" s="2">
        <v>21</v>
      </c>
      <c r="B24" s="1">
        <v>7.5416999999999998E-2</v>
      </c>
      <c r="C24" s="1">
        <v>3.6868999999999999E-2</v>
      </c>
      <c r="D24" s="1">
        <v>2.22E-4</v>
      </c>
      <c r="F24" s="1">
        <v>7.5416999999999998E-2</v>
      </c>
      <c r="G24" s="1">
        <v>3.6868999999999999E-2</v>
      </c>
      <c r="H24" s="1">
        <v>2.22E-4</v>
      </c>
      <c r="J24" s="4">
        <v>1042.6668717795028</v>
      </c>
      <c r="K24" s="4">
        <v>1118.0786754351038</v>
      </c>
      <c r="M24" s="1">
        <v>-1.0608705629718385E-2</v>
      </c>
      <c r="N24" s="1">
        <v>0</v>
      </c>
      <c r="V24" s="1">
        <v>0.2724194921886296</v>
      </c>
      <c r="W24" s="1">
        <v>0.28064428339528558</v>
      </c>
      <c r="X24" s="1">
        <v>5.4028818241309562E-2</v>
      </c>
      <c r="Z24" s="1">
        <v>-1.0080960915342829E-2</v>
      </c>
      <c r="AA24" s="1">
        <v>5.6140495944838387E-2</v>
      </c>
      <c r="AB24" s="1">
        <v>1.589110907538327E-3</v>
      </c>
      <c r="AD24" s="1">
        <v>0.2742812252977192</v>
      </c>
      <c r="AF24" s="4">
        <v>1.5348400360120629</v>
      </c>
      <c r="AH24" s="1">
        <v>-7.1017306651774526E-2</v>
      </c>
      <c r="AI24" s="1">
        <v>-7.0232513470317781E-2</v>
      </c>
      <c r="AP24" s="22">
        <v>42582</v>
      </c>
      <c r="AT24" s="1">
        <v>0.21228605288686705</v>
      </c>
    </row>
    <row r="25" spans="1:46" x14ac:dyDescent="0.25">
      <c r="A25" s="2">
        <v>22</v>
      </c>
      <c r="B25" s="1">
        <v>-2.905E-3</v>
      </c>
      <c r="C25" s="1">
        <v>1.4040000000000001E-3</v>
      </c>
      <c r="D25" s="1">
        <v>2.3800000000000001E-4</v>
      </c>
      <c r="F25" s="1">
        <v>-2.905E-3</v>
      </c>
      <c r="G25" s="1">
        <v>1.4040000000000001E-3</v>
      </c>
      <c r="H25" s="1">
        <v>2.3800000000000001E-4</v>
      </c>
      <c r="J25" s="4">
        <v>1039.6379245169833</v>
      </c>
      <c r="K25" s="4">
        <v>1119.6484578954146</v>
      </c>
      <c r="M25" s="1">
        <v>-1.3482887339864136E-2</v>
      </c>
      <c r="N25" s="1">
        <v>0</v>
      </c>
      <c r="V25" s="1">
        <v>0.14008465991892027</v>
      </c>
      <c r="W25" s="1">
        <v>0.22599414663032569</v>
      </c>
      <c r="X25" s="1">
        <v>5.3445048862226896E-2</v>
      </c>
      <c r="Z25" s="1">
        <v>5.5731315099093237E-2</v>
      </c>
      <c r="AA25" s="1">
        <v>0.12553111126841343</v>
      </c>
      <c r="AB25" s="1">
        <v>1.8024440548327636E-3</v>
      </c>
      <c r="AD25" s="1">
        <v>0.2645355122212929</v>
      </c>
      <c r="AF25" s="4">
        <v>1.6888442112386202</v>
      </c>
      <c r="AH25" s="1">
        <v>-0.11852969929306256</v>
      </c>
      <c r="AI25" s="1">
        <v>-0.11739255262453208</v>
      </c>
      <c r="AP25" s="22">
        <v>42613</v>
      </c>
      <c r="AT25" s="1">
        <v>0.20723001306603889</v>
      </c>
    </row>
    <row r="26" spans="1:46" x14ac:dyDescent="0.25">
      <c r="A26" s="2">
        <v>23</v>
      </c>
      <c r="B26" s="1">
        <v>7.0422999999999999E-2</v>
      </c>
      <c r="C26" s="1">
        <v>1.8900000000000001E-4</v>
      </c>
      <c r="D26" s="1">
        <v>2.4000000000000001E-4</v>
      </c>
      <c r="F26" s="1">
        <v>7.0422999999999999E-2</v>
      </c>
      <c r="G26" s="1">
        <v>1.8900000000000001E-4</v>
      </c>
      <c r="H26" s="1">
        <v>2.4000000000000001E-4</v>
      </c>
      <c r="J26" s="4">
        <v>1112.8523460752426</v>
      </c>
      <c r="K26" s="4">
        <v>1119.8600714539568</v>
      </c>
      <c r="M26" s="1">
        <v>0</v>
      </c>
      <c r="N26" s="1">
        <v>0</v>
      </c>
      <c r="V26" s="1">
        <v>0.12130157563486255</v>
      </c>
      <c r="W26" s="1">
        <v>0.25015129600429398</v>
      </c>
      <c r="X26" s="1">
        <v>5.2633614239269155E-2</v>
      </c>
      <c r="Z26" s="1">
        <v>0.20011031906079046</v>
      </c>
      <c r="AA26" s="1">
        <v>0.15430480032283089</v>
      </c>
      <c r="AB26" s="1">
        <v>2.0168242039766415E-3</v>
      </c>
      <c r="AD26" s="1">
        <v>0.26097547794990589</v>
      </c>
      <c r="AF26" s="4">
        <v>1.6025388585780793</v>
      </c>
      <c r="AH26" s="1">
        <v>-2.5471261551434199E-2</v>
      </c>
      <c r="AI26" s="1">
        <v>-2.4151476233069014E-2</v>
      </c>
      <c r="AP26" s="22">
        <v>42643</v>
      </c>
      <c r="AT26" s="1">
        <v>0.20814912014822984</v>
      </c>
    </row>
    <row r="27" spans="1:46" x14ac:dyDescent="0.25">
      <c r="A27" s="2">
        <v>24</v>
      </c>
      <c r="B27" s="1">
        <v>-0.105263</v>
      </c>
      <c r="C27" s="1">
        <v>-1.8241E-2</v>
      </c>
      <c r="D27" s="1">
        <v>2.52E-4</v>
      </c>
      <c r="F27" s="1">
        <v>-0.105263</v>
      </c>
      <c r="G27" s="1">
        <v>-1.8241E-2</v>
      </c>
      <c r="H27" s="1">
        <v>2.52E-4</v>
      </c>
      <c r="J27" s="4">
        <v>995.71016957032441</v>
      </c>
      <c r="K27" s="4">
        <v>1099.4327038905653</v>
      </c>
      <c r="M27" s="1">
        <v>-0.105263</v>
      </c>
      <c r="N27" s="1">
        <v>-1.8240999999999841E-2</v>
      </c>
      <c r="V27" s="1">
        <v>0.12456575593318386</v>
      </c>
      <c r="W27" s="1">
        <v>0.28773790887436523</v>
      </c>
      <c r="X27" s="1">
        <v>5.1686320471524771E-2</v>
      </c>
      <c r="Z27" s="1">
        <v>1.9734138027616366E-2</v>
      </c>
      <c r="AA27" s="1">
        <v>4.5091479775186016E-2</v>
      </c>
      <c r="AB27" s="1">
        <v>2.2452785569908595E-3</v>
      </c>
      <c r="AD27" s="1">
        <v>0.28476272662548696</v>
      </c>
      <c r="AF27" s="4">
        <v>2.4835017618191477</v>
      </c>
      <c r="AH27" s="1">
        <v>-6.0780299375894575E-2</v>
      </c>
      <c r="AI27" s="1">
        <v>-5.7755604298020735E-2</v>
      </c>
      <c r="AP27" s="22">
        <v>42674</v>
      </c>
      <c r="AT27" s="1">
        <v>0.21836248068665651</v>
      </c>
    </row>
    <row r="28" spans="1:46" x14ac:dyDescent="0.25">
      <c r="A28" s="2">
        <v>25</v>
      </c>
      <c r="B28" s="1">
        <v>1.5731999999999999E-2</v>
      </c>
      <c r="C28" s="1">
        <v>3.7034999999999998E-2</v>
      </c>
      <c r="D28" s="1">
        <v>2.5799999999999998E-4</v>
      </c>
      <c r="F28" s="1">
        <v>1.5731999999999999E-2</v>
      </c>
      <c r="G28" s="1">
        <v>3.7034999999999998E-2</v>
      </c>
      <c r="H28" s="1">
        <v>2.5799999999999998E-4</v>
      </c>
      <c r="J28" s="4">
        <v>1011.3746819580049</v>
      </c>
      <c r="K28" s="4">
        <v>1140.1501940791522</v>
      </c>
      <c r="M28" s="1">
        <v>-9.118699751599979E-2</v>
      </c>
      <c r="N28" s="1">
        <v>0</v>
      </c>
      <c r="V28" s="1">
        <v>6.4515054279736583E-2</v>
      </c>
      <c r="W28" s="1">
        <v>0.2170063910080724</v>
      </c>
      <c r="X28" s="1">
        <v>5.0554898920286639E-2</v>
      </c>
      <c r="Z28" s="1">
        <v>-2.7644330688130547E-2</v>
      </c>
      <c r="AA28" s="1">
        <v>8.0582789512649411E-2</v>
      </c>
      <c r="AB28" s="1">
        <v>2.4757885167798754E-3</v>
      </c>
      <c r="AD28" s="1">
        <v>0.27752852284454066</v>
      </c>
      <c r="AF28" s="4">
        <v>2.2970423590869946</v>
      </c>
      <c r="AH28" s="1">
        <v>-0.16687578316683016</v>
      </c>
      <c r="AI28" s="1">
        <v>-0.16426862068918813</v>
      </c>
      <c r="AP28" s="22">
        <v>42704</v>
      </c>
      <c r="AT28" s="1">
        <v>0.21398282993520765</v>
      </c>
    </row>
    <row r="29" spans="1:46" x14ac:dyDescent="0.25">
      <c r="A29" s="2">
        <v>26</v>
      </c>
      <c r="B29" s="1">
        <v>-1.9733000000000001E-2</v>
      </c>
      <c r="C29" s="1">
        <v>1.9765999999999999E-2</v>
      </c>
      <c r="D29" s="1">
        <v>3.1E-4</v>
      </c>
      <c r="F29" s="1">
        <v>-1.9733000000000001E-2</v>
      </c>
      <c r="G29" s="1">
        <v>1.9765999999999999E-2</v>
      </c>
      <c r="H29" s="1">
        <v>3.1E-4</v>
      </c>
      <c r="J29" s="4">
        <v>991.41722535892757</v>
      </c>
      <c r="K29" s="4">
        <v>1162.6864028153207</v>
      </c>
      <c r="M29" s="1">
        <v>-0.10912060449401662</v>
      </c>
      <c r="N29" s="1">
        <v>0</v>
      </c>
      <c r="V29" s="1">
        <v>2.5769344727086363E-2</v>
      </c>
      <c r="W29" s="1">
        <v>0.18485856405912338</v>
      </c>
      <c r="X29" s="1">
        <v>4.9283376186530559E-2</v>
      </c>
      <c r="Z29" s="1">
        <v>-3.329799706963632E-2</v>
      </c>
      <c r="AA29" s="1">
        <v>0.11959991885026255</v>
      </c>
      <c r="AB29" s="1">
        <v>2.7093473914712174E-3</v>
      </c>
      <c r="AD29" s="1">
        <v>0.2779197571235919</v>
      </c>
      <c r="AF29" s="4">
        <v>2.3445739184240817</v>
      </c>
      <c r="AH29" s="1">
        <v>-0.24221864623950806</v>
      </c>
      <c r="AI29" s="1">
        <v>-0.23951158514718041</v>
      </c>
      <c r="AP29" s="22">
        <v>42735</v>
      </c>
      <c r="AT29" s="1">
        <v>0.21019569101349342</v>
      </c>
    </row>
    <row r="30" spans="1:46" x14ac:dyDescent="0.25">
      <c r="A30" s="2">
        <v>27</v>
      </c>
      <c r="B30" s="1">
        <v>0.116574</v>
      </c>
      <c r="C30" s="1">
        <v>1.8966E-2</v>
      </c>
      <c r="D30" s="1">
        <v>3.7100000000000002E-4</v>
      </c>
      <c r="F30" s="1">
        <v>0.116574</v>
      </c>
      <c r="G30" s="1">
        <v>1.8966E-2</v>
      </c>
      <c r="H30" s="1">
        <v>3.7100000000000002E-4</v>
      </c>
      <c r="J30" s="4">
        <v>1106.9906969879191</v>
      </c>
      <c r="K30" s="4">
        <v>1184.7379131311161</v>
      </c>
      <c r="M30" s="1">
        <v>-5.2672298423021013E-3</v>
      </c>
      <c r="N30" s="1">
        <v>0</v>
      </c>
      <c r="V30" s="1">
        <v>8.0852415394741639E-2</v>
      </c>
      <c r="W30" s="1">
        <v>0.22450910055843143</v>
      </c>
      <c r="X30" s="1">
        <v>4.7898076187181893E-2</v>
      </c>
      <c r="Z30" s="1">
        <v>0.31129723892360839</v>
      </c>
      <c r="AA30" s="1">
        <v>0.20040305196172548</v>
      </c>
      <c r="AB30" s="1">
        <v>2.9559830614702687E-3</v>
      </c>
      <c r="AD30" s="1">
        <v>0.22348732562394999</v>
      </c>
      <c r="AF30" s="4">
        <v>1.9801345792611869</v>
      </c>
      <c r="AH30" s="1">
        <v>-7.1031858172337925E-2</v>
      </c>
      <c r="AI30" s="1">
        <v>-6.821453869352323E-2</v>
      </c>
      <c r="AP30" s="22">
        <v>42766</v>
      </c>
      <c r="AT30" s="1">
        <v>0.2199271466533336</v>
      </c>
    </row>
    <row r="31" spans="1:46" x14ac:dyDescent="0.25">
      <c r="A31" s="2">
        <v>28</v>
      </c>
      <c r="B31" s="1">
        <v>3.7548999999999999E-2</v>
      </c>
      <c r="C31" s="1">
        <v>3.9705999999999998E-2</v>
      </c>
      <c r="D31" s="1">
        <v>3.9100000000000002E-4</v>
      </c>
      <c r="F31" s="1">
        <v>3.7548999999999999E-2</v>
      </c>
      <c r="G31" s="1">
        <v>3.9705999999999998E-2</v>
      </c>
      <c r="H31" s="1">
        <v>3.9100000000000002E-4</v>
      </c>
      <c r="J31" s="4">
        <v>1148.5570906691187</v>
      </c>
      <c r="K31" s="4">
        <v>1231.7791167099001</v>
      </c>
      <c r="M31" s="1">
        <v>0</v>
      </c>
      <c r="N31" s="1">
        <v>0</v>
      </c>
      <c r="V31" s="1">
        <v>3.2712964207539219E-2</v>
      </c>
      <c r="W31" s="1">
        <v>0.17161688406967524</v>
      </c>
      <c r="X31" s="1">
        <v>4.645114072765999E-2</v>
      </c>
      <c r="Z31" s="1">
        <v>0.35459119279397089</v>
      </c>
      <c r="AA31" s="1">
        <v>0.24975217122189597</v>
      </c>
      <c r="AB31" s="1">
        <v>3.1675686884833354E-3</v>
      </c>
      <c r="AD31" s="1">
        <v>0.22265489578493439</v>
      </c>
      <c r="AF31" s="4">
        <v>1.9042921558307524</v>
      </c>
      <c r="AH31" s="1">
        <v>-9.9455359098325369E-2</v>
      </c>
      <c r="AI31" s="1">
        <v>-9.6880101782377714E-2</v>
      </c>
      <c r="AP31" s="22">
        <v>42794</v>
      </c>
      <c r="AT31" s="1">
        <v>0.21681674261813752</v>
      </c>
    </row>
    <row r="32" spans="1:46" x14ac:dyDescent="0.25">
      <c r="A32" s="2">
        <v>29</v>
      </c>
      <c r="B32" s="1">
        <v>2.7262999999999999E-2</v>
      </c>
      <c r="C32" s="1">
        <v>1.1659999999999999E-3</v>
      </c>
      <c r="D32" s="1">
        <v>4.4799999999999999E-4</v>
      </c>
      <c r="F32" s="1">
        <v>2.7262999999999999E-2</v>
      </c>
      <c r="G32" s="1">
        <v>1.1659999999999999E-3</v>
      </c>
      <c r="H32" s="1">
        <v>4.4799999999999999E-4</v>
      </c>
      <c r="J32" s="4">
        <v>1179.8702026320309</v>
      </c>
      <c r="K32" s="4">
        <v>1233.2153711599838</v>
      </c>
      <c r="M32" s="1">
        <v>0</v>
      </c>
      <c r="N32" s="1">
        <v>0</v>
      </c>
      <c r="V32" s="1">
        <v>2.7015828257657137E-3</v>
      </c>
      <c r="W32" s="1">
        <v>0.16611979002044475</v>
      </c>
      <c r="X32" s="1">
        <v>4.5022809461082725E-2</v>
      </c>
      <c r="Z32" s="1">
        <v>0.23498244735151785</v>
      </c>
      <c r="AA32" s="1">
        <v>0.17172209853324261</v>
      </c>
      <c r="AB32" s="1">
        <v>3.3831994737787419E-3</v>
      </c>
      <c r="AD32" s="1">
        <v>0.19474299384293414</v>
      </c>
      <c r="AF32" s="4">
        <v>1.6929122715992537</v>
      </c>
      <c r="AH32" s="1">
        <v>-4.1907858918304286E-2</v>
      </c>
      <c r="AI32" s="1">
        <v>-3.9365338397704508E-2</v>
      </c>
      <c r="AP32" s="22">
        <v>42825</v>
      </c>
      <c r="AT32" s="1">
        <v>0.2133123733167849</v>
      </c>
    </row>
    <row r="33" spans="1:46" x14ac:dyDescent="0.25">
      <c r="A33" s="2">
        <v>30</v>
      </c>
      <c r="B33" s="1">
        <v>4.9539E-2</v>
      </c>
      <c r="C33" s="1">
        <v>1.027E-2</v>
      </c>
      <c r="D33" s="1">
        <v>5.0799999999999999E-4</v>
      </c>
      <c r="F33" s="1">
        <v>4.9539E-2</v>
      </c>
      <c r="G33" s="1">
        <v>1.027E-2</v>
      </c>
      <c r="H33" s="1">
        <v>5.0799999999999999E-4</v>
      </c>
      <c r="J33" s="4">
        <v>1238.319792600219</v>
      </c>
      <c r="K33" s="4">
        <v>1245.8804930217968</v>
      </c>
      <c r="M33" s="1">
        <v>0</v>
      </c>
      <c r="N33" s="1">
        <v>0</v>
      </c>
      <c r="V33" s="1">
        <v>-0.12443326435637592</v>
      </c>
      <c r="W33" s="1">
        <v>0.11858313077763727</v>
      </c>
      <c r="X33" s="1">
        <v>4.3607999264696273E-2</v>
      </c>
      <c r="Z33" s="1">
        <v>0.30445859950370879</v>
      </c>
      <c r="AA33" s="1">
        <v>0.1791839881630708</v>
      </c>
      <c r="AB33" s="1">
        <v>3.6560553100579707E-3</v>
      </c>
      <c r="AD33" s="1">
        <v>0.19476429886287028</v>
      </c>
      <c r="AF33" s="4">
        <v>1.6278508278807866</v>
      </c>
      <c r="AH33" s="1">
        <v>1.3331371415439719E-2</v>
      </c>
      <c r="AI33" s="1">
        <v>1.634687111040356E-2</v>
      </c>
      <c r="AP33" s="22">
        <v>42855</v>
      </c>
      <c r="AT33" s="1">
        <v>0.21127377063767777</v>
      </c>
    </row>
    <row r="34" spans="1:46" x14ac:dyDescent="0.25">
      <c r="A34" s="2">
        <v>31</v>
      </c>
      <c r="B34" s="1">
        <v>8.3434999999999995E-2</v>
      </c>
      <c r="C34" s="1">
        <v>1.4073E-2</v>
      </c>
      <c r="D34" s="1">
        <v>6.0599999999999998E-4</v>
      </c>
      <c r="F34" s="1">
        <v>8.3434999999999995E-2</v>
      </c>
      <c r="G34" s="1">
        <v>1.4073E-2</v>
      </c>
      <c r="H34" s="1">
        <v>6.0599999999999998E-4</v>
      </c>
      <c r="J34" s="4">
        <v>1341.6390044958182</v>
      </c>
      <c r="K34" s="4">
        <v>1263.4137692000925</v>
      </c>
      <c r="M34" s="1">
        <v>0</v>
      </c>
      <c r="N34" s="1">
        <v>0</v>
      </c>
      <c r="V34" s="1">
        <v>-0.14128036195317295</v>
      </c>
      <c r="W34" s="1">
        <v>0.13038738156635565</v>
      </c>
      <c r="X34" s="1">
        <v>4.2236183781900971E-2</v>
      </c>
      <c r="Z34" s="1">
        <v>0.37114039141911959</v>
      </c>
      <c r="AA34" s="1">
        <v>0.17468367499296611</v>
      </c>
      <c r="AB34" s="1">
        <v>4.0514119802361748E-3</v>
      </c>
      <c r="AD34" s="1">
        <v>0.20372027476799026</v>
      </c>
      <c r="AF34" s="4">
        <v>1.6345995562426083</v>
      </c>
      <c r="AH34" s="1">
        <v>7.3526737463572855E-2</v>
      </c>
      <c r="AI34" s="1">
        <v>7.7760916896779664E-2</v>
      </c>
      <c r="AP34" s="22">
        <v>42886</v>
      </c>
      <c r="AT34" s="1">
        <v>0.21282257868696108</v>
      </c>
    </row>
    <row r="35" spans="1:46" x14ac:dyDescent="0.25">
      <c r="A35" s="2">
        <v>32</v>
      </c>
      <c r="B35" s="1">
        <v>2.8538000000000001E-2</v>
      </c>
      <c r="C35" s="1">
        <v>6.2420000000000002E-3</v>
      </c>
      <c r="D35" s="1">
        <v>7.0799999999999997E-4</v>
      </c>
      <c r="F35" s="1">
        <v>2.8538000000000001E-2</v>
      </c>
      <c r="G35" s="1">
        <v>6.2420000000000002E-3</v>
      </c>
      <c r="H35" s="1">
        <v>7.0799999999999997E-4</v>
      </c>
      <c r="J35" s="4">
        <v>1379.9266984061198</v>
      </c>
      <c r="K35" s="4">
        <v>1271.2999979474396</v>
      </c>
      <c r="M35" s="1">
        <v>0</v>
      </c>
      <c r="N35" s="1">
        <v>0</v>
      </c>
      <c r="V35" s="1">
        <v>-0.15810596552459633</v>
      </c>
      <c r="W35" s="1">
        <v>0.11330267790689574</v>
      </c>
      <c r="X35" s="1">
        <v>4.0918958893938262E-2</v>
      </c>
      <c r="Z35" s="1">
        <v>0.42327014541768393</v>
      </c>
      <c r="AA35" s="1">
        <v>0.17896136160435572</v>
      </c>
      <c r="AB35" s="1">
        <v>4.5613681062968148E-3</v>
      </c>
      <c r="AD35" s="1">
        <v>0.19962243191744852</v>
      </c>
      <c r="AF35" s="4">
        <v>1.5419652244644471</v>
      </c>
      <c r="AH35" s="1">
        <v>0.12501299652213893</v>
      </c>
      <c r="AI35" s="1">
        <v>0.12953923642868626</v>
      </c>
      <c r="AP35" s="22">
        <v>42916</v>
      </c>
      <c r="AT35" s="1">
        <v>0.20962465707283393</v>
      </c>
    </row>
    <row r="36" spans="1:46" x14ac:dyDescent="0.25">
      <c r="A36" s="2">
        <v>33</v>
      </c>
      <c r="B36" s="1">
        <v>3.5543999999999999E-2</v>
      </c>
      <c r="C36" s="1">
        <v>2.0563000000000001E-2</v>
      </c>
      <c r="D36" s="1">
        <v>8.0500000000000005E-4</v>
      </c>
      <c r="F36" s="1">
        <v>3.5543999999999999E-2</v>
      </c>
      <c r="G36" s="1">
        <v>2.0563000000000001E-2</v>
      </c>
      <c r="H36" s="1">
        <v>8.0500000000000005E-4</v>
      </c>
      <c r="J36" s="4">
        <v>1428.974812974267</v>
      </c>
      <c r="K36" s="4">
        <v>1297.4417398052328</v>
      </c>
      <c r="M36" s="1">
        <v>0</v>
      </c>
      <c r="N36" s="1">
        <v>0</v>
      </c>
      <c r="V36" s="1">
        <v>-0.22086037509378598</v>
      </c>
      <c r="W36" s="1">
        <v>8.8452647581564126E-2</v>
      </c>
      <c r="X36" s="1">
        <v>3.9672497174414678E-2</v>
      </c>
      <c r="Z36" s="1">
        <v>0.37049987071657786</v>
      </c>
      <c r="AA36" s="1">
        <v>0.1604207899773511</v>
      </c>
      <c r="AB36" s="1">
        <v>5.1468973964008402E-3</v>
      </c>
      <c r="AD36" s="1">
        <v>0.19392784705095389</v>
      </c>
      <c r="AF36" s="4">
        <v>1.4524548123911207</v>
      </c>
      <c r="AH36" s="1">
        <v>0.12367555962264376</v>
      </c>
      <c r="AI36" s="1">
        <v>0.12793807958395331</v>
      </c>
      <c r="AP36" s="22">
        <v>42947</v>
      </c>
      <c r="AT36" s="1">
        <v>0.20681380319219067</v>
      </c>
    </row>
    <row r="37" spans="1:46" x14ac:dyDescent="0.25">
      <c r="A37" s="2">
        <v>34</v>
      </c>
      <c r="B37" s="1">
        <v>0.113404</v>
      </c>
      <c r="C37" s="1">
        <v>3.0609999999999999E-3</v>
      </c>
      <c r="D37" s="1">
        <v>8.8400000000000002E-4</v>
      </c>
      <c r="F37" s="1">
        <v>0.113404</v>
      </c>
      <c r="G37" s="1">
        <v>3.0609999999999999E-3</v>
      </c>
      <c r="H37" s="1">
        <v>8.8400000000000002E-4</v>
      </c>
      <c r="J37" s="4">
        <v>1591.0262726648009</v>
      </c>
      <c r="K37" s="4">
        <v>1301.4132089707766</v>
      </c>
      <c r="M37" s="1">
        <v>0</v>
      </c>
      <c r="N37" s="1">
        <v>0</v>
      </c>
      <c r="V37" s="1">
        <v>-0.24341312462226494</v>
      </c>
      <c r="W37" s="1">
        <v>0.10267325529007909</v>
      </c>
      <c r="X37" s="1">
        <v>3.8498887673983129E-2</v>
      </c>
      <c r="Z37" s="1">
        <v>0.5303657505606989</v>
      </c>
      <c r="AA37" s="1">
        <v>0.16234091137590001</v>
      </c>
      <c r="AB37" s="1">
        <v>5.7960677895654289E-3</v>
      </c>
      <c r="AD37" s="1">
        <v>0.20803476832731588</v>
      </c>
      <c r="AF37" s="4">
        <v>1.0589881083772446</v>
      </c>
      <c r="AH37" s="1">
        <v>0.33338238939196163</v>
      </c>
      <c r="AI37" s="1">
        <v>0.33832534608317877</v>
      </c>
      <c r="AP37" s="22">
        <v>42978</v>
      </c>
      <c r="AT37" s="1">
        <v>0.21226990979688209</v>
      </c>
    </row>
    <row r="38" spans="1:46" x14ac:dyDescent="0.25">
      <c r="A38" s="2">
        <v>35</v>
      </c>
      <c r="B38" s="1">
        <v>1.3252999999999999E-2</v>
      </c>
      <c r="C38" s="1">
        <v>2.0628000000000001E-2</v>
      </c>
      <c r="D38" s="1">
        <v>8.6200000000000003E-4</v>
      </c>
      <c r="F38" s="1">
        <v>1.3252999999999999E-2</v>
      </c>
      <c r="G38" s="1">
        <v>2.0628000000000001E-2</v>
      </c>
      <c r="H38" s="1">
        <v>8.6200000000000003E-4</v>
      </c>
      <c r="J38" s="4">
        <v>1612.1121438564273</v>
      </c>
      <c r="K38" s="4">
        <v>1328.2587606454258</v>
      </c>
      <c r="M38" s="1">
        <v>0</v>
      </c>
      <c r="N38" s="1">
        <v>0</v>
      </c>
      <c r="V38" s="1">
        <v>-0.27229703216729761</v>
      </c>
      <c r="W38" s="1">
        <v>9.6980097933115239E-2</v>
      </c>
      <c r="X38" s="1">
        <v>3.7392132356047103E-2</v>
      </c>
      <c r="Z38" s="1">
        <v>0.44863076358867482</v>
      </c>
      <c r="AA38" s="1">
        <v>0.18609350802274593</v>
      </c>
      <c r="AB38" s="1">
        <v>6.4215228345192443E-3</v>
      </c>
      <c r="AD38" s="1">
        <v>0.20608608371768072</v>
      </c>
      <c r="AF38" s="4">
        <v>1.2241803874222392</v>
      </c>
      <c r="AH38" s="1">
        <v>0.20005964574062451</v>
      </c>
      <c r="AI38" s="1">
        <v>0.20689575900194668</v>
      </c>
      <c r="AP38" s="22">
        <v>43008</v>
      </c>
      <c r="AT38" s="1">
        <v>0.2091295714567262</v>
      </c>
    </row>
    <row r="39" spans="1:46" x14ac:dyDescent="0.25">
      <c r="A39" s="2">
        <v>36</v>
      </c>
      <c r="B39" s="1">
        <v>4.0978000000000001E-2</v>
      </c>
      <c r="C39" s="1">
        <v>2.3335000000000002E-2</v>
      </c>
      <c r="D39" s="1">
        <v>9.0300000000000005E-4</v>
      </c>
      <c r="F39" s="1">
        <v>4.0978000000000001E-2</v>
      </c>
      <c r="G39" s="1">
        <v>2.3335000000000002E-2</v>
      </c>
      <c r="H39" s="1">
        <v>9.0300000000000005E-4</v>
      </c>
      <c r="J39" s="4">
        <v>1678.1732752873759</v>
      </c>
      <c r="K39" s="4">
        <v>1359.253678825087</v>
      </c>
      <c r="M39" s="1">
        <v>0</v>
      </c>
      <c r="N39" s="1">
        <v>0</v>
      </c>
      <c r="V39" s="1">
        <v>-0.24301121343618559</v>
      </c>
      <c r="W39" s="1">
        <v>0.11914174875732386</v>
      </c>
      <c r="X39" s="1">
        <v>3.634725561989427E-2</v>
      </c>
      <c r="Z39" s="1">
        <v>0.68540336995006546</v>
      </c>
      <c r="AA39" s="1">
        <v>0.23632276356260196</v>
      </c>
      <c r="AB39" s="1">
        <v>7.0765381820176998E-3</v>
      </c>
      <c r="AD39" s="1">
        <v>0.14052238196102423</v>
      </c>
      <c r="AF39" s="4">
        <v>-1.0058599984839716</v>
      </c>
      <c r="AH39" s="1">
        <v>1.0858149489335576</v>
      </c>
      <c r="AI39" s="1">
        <v>1.055146340622569</v>
      </c>
      <c r="AP39" s="22">
        <v>43039</v>
      </c>
      <c r="AT39" s="1">
        <v>0.20664260025378992</v>
      </c>
    </row>
    <row r="40" spans="1:46" x14ac:dyDescent="0.25">
      <c r="A40" s="2">
        <v>37</v>
      </c>
      <c r="B40" s="1">
        <v>5.5895E-2</v>
      </c>
      <c r="C40" s="1">
        <v>3.0669999999999999E-2</v>
      </c>
      <c r="D40" s="1">
        <v>8.9300000000000002E-4</v>
      </c>
      <c r="F40" s="1">
        <v>5.5895E-2</v>
      </c>
      <c r="G40" s="1">
        <v>3.0669999999999999E-2</v>
      </c>
      <c r="H40" s="1">
        <v>8.9300000000000002E-4</v>
      </c>
      <c r="J40" s="4">
        <v>1771.9747705095638</v>
      </c>
      <c r="K40" s="4">
        <v>1400.9419891546524</v>
      </c>
      <c r="M40" s="1">
        <v>0</v>
      </c>
      <c r="N40" s="1">
        <v>0</v>
      </c>
      <c r="V40" s="1">
        <v>-0.26118330257583899</v>
      </c>
      <c r="W40" s="1">
        <v>9.8640488533796367E-2</v>
      </c>
      <c r="X40" s="1">
        <v>3.5360498906885196E-2</v>
      </c>
      <c r="Z40" s="1">
        <v>0.75204580668269227</v>
      </c>
      <c r="AA40" s="1">
        <v>0.22873459692398712</v>
      </c>
      <c r="AB40" s="1">
        <v>7.71586683697012E-3</v>
      </c>
      <c r="AD40" s="1">
        <v>0.13703919055212571</v>
      </c>
      <c r="AF40" s="4">
        <v>-0.63692332486588643</v>
      </c>
      <c r="AH40" s="1">
        <v>1.0027313682698153</v>
      </c>
      <c r="AI40" s="1">
        <v>0.98219400308604121</v>
      </c>
      <c r="AP40" s="22">
        <v>43069</v>
      </c>
      <c r="AT40" s="1">
        <v>0.20499916842604354</v>
      </c>
    </row>
    <row r="41" spans="1:46" x14ac:dyDescent="0.25">
      <c r="A41" s="2">
        <v>38</v>
      </c>
      <c r="B41" s="1">
        <v>1.9743E-2</v>
      </c>
      <c r="C41" s="1">
        <v>1.1119E-2</v>
      </c>
      <c r="D41" s="1">
        <v>1.0009999999999999E-3</v>
      </c>
      <c r="F41" s="1">
        <v>1.9743E-2</v>
      </c>
      <c r="G41" s="1">
        <v>1.1119E-2</v>
      </c>
      <c r="H41" s="1">
        <v>1.0009999999999999E-3</v>
      </c>
      <c r="J41" s="4">
        <v>1806.9588684037342</v>
      </c>
      <c r="K41" s="4">
        <v>1416.5190631320631</v>
      </c>
      <c r="M41" s="1">
        <v>0</v>
      </c>
      <c r="N41" s="1">
        <v>0</v>
      </c>
      <c r="V41" s="1">
        <v>-0.2507194522527828</v>
      </c>
      <c r="W41" s="1">
        <v>0.1063393560552548</v>
      </c>
      <c r="X41" s="1">
        <v>3.4424256892815475E-2</v>
      </c>
      <c r="Z41" s="1">
        <v>0.82260184933699532</v>
      </c>
      <c r="AA41" s="1">
        <v>0.21831566938609948</v>
      </c>
      <c r="AB41" s="1">
        <v>8.4119827050350704E-3</v>
      </c>
      <c r="AD41" s="1">
        <v>0.12024769369740716</v>
      </c>
      <c r="AF41" s="4">
        <v>-0.36290173804985759</v>
      </c>
      <c r="AH41" s="1">
        <v>0.96380464388485088</v>
      </c>
      <c r="AI41" s="1">
        <v>0.93660764846819755</v>
      </c>
      <c r="AP41" s="22">
        <v>43100</v>
      </c>
      <c r="AT41" s="1">
        <v>0.20221449691219909</v>
      </c>
    </row>
    <row r="42" spans="1:46" x14ac:dyDescent="0.25">
      <c r="A42" s="2">
        <v>39</v>
      </c>
      <c r="B42" s="1">
        <v>0.110359</v>
      </c>
      <c r="C42" s="1">
        <v>5.7253999999999999E-2</v>
      </c>
      <c r="D42" s="1">
        <v>1.1000000000000001E-3</v>
      </c>
      <c r="F42" s="1">
        <v>0.110359</v>
      </c>
      <c r="G42" s="1">
        <v>5.7253999999999999E-2</v>
      </c>
      <c r="H42" s="1">
        <v>1.1000000000000001E-3</v>
      </c>
      <c r="J42" s="4">
        <v>2006.373042161902</v>
      </c>
      <c r="K42" s="4">
        <v>1497.6204455726261</v>
      </c>
      <c r="M42" s="1">
        <v>0</v>
      </c>
      <c r="N42" s="1">
        <v>0</v>
      </c>
      <c r="V42" s="1">
        <v>-0.26515962355883271</v>
      </c>
      <c r="W42" s="1">
        <v>0.11147643931047213</v>
      </c>
      <c r="X42" s="1">
        <v>3.3533947881360104E-2</v>
      </c>
      <c r="Z42" s="1">
        <v>0.81245700403912102</v>
      </c>
      <c r="AA42" s="1">
        <v>0.26409430218587437</v>
      </c>
      <c r="AB42" s="1">
        <v>9.1468424074778731E-3</v>
      </c>
      <c r="AD42" s="1">
        <v>0.11670444967757428</v>
      </c>
      <c r="AF42" s="4">
        <v>0.58883096317697425</v>
      </c>
      <c r="AH42" s="1">
        <v>0.59382248800257709</v>
      </c>
      <c r="AI42" s="1">
        <v>0.59066190324799295</v>
      </c>
      <c r="AP42" s="22">
        <v>43131</v>
      </c>
      <c r="AT42" s="1">
        <v>0.20609252581740456</v>
      </c>
    </row>
    <row r="43" spans="1:46" x14ac:dyDescent="0.25">
      <c r="A43" s="2">
        <v>40</v>
      </c>
      <c r="B43" s="1">
        <v>1.05E-4</v>
      </c>
      <c r="C43" s="1">
        <v>-3.6857000000000001E-2</v>
      </c>
      <c r="D43" s="1">
        <v>1.0759999999999999E-3</v>
      </c>
      <c r="F43" s="1">
        <v>1.05E-4</v>
      </c>
      <c r="G43" s="1">
        <v>-3.6857000000000001E-2</v>
      </c>
      <c r="H43" s="1">
        <v>1.0759999999999999E-3</v>
      </c>
      <c r="J43" s="4">
        <v>2006.5837113313291</v>
      </c>
      <c r="K43" s="4">
        <v>1442.4226488101558</v>
      </c>
      <c r="M43" s="1">
        <v>0</v>
      </c>
      <c r="N43" s="1">
        <v>-3.6857000000000029E-2</v>
      </c>
      <c r="V43" s="1">
        <v>-0.22392596028169576</v>
      </c>
      <c r="W43" s="1">
        <v>0.11624461345671988</v>
      </c>
      <c r="X43" s="1">
        <v>3.2686695485695916E-2</v>
      </c>
      <c r="Z43" s="1">
        <v>0.74704742814512359</v>
      </c>
      <c r="AA43" s="1">
        <v>0.17100755260641876</v>
      </c>
      <c r="AB43" s="1">
        <v>9.8378378153225476E-3</v>
      </c>
      <c r="AD43" s="1">
        <v>0.1270618062461944</v>
      </c>
      <c r="AF43" s="4">
        <v>0.88534320246035625</v>
      </c>
      <c r="AH43" s="1">
        <v>0.53319093363817882</v>
      </c>
      <c r="AI43" s="1">
        <v>0.53151013633538602</v>
      </c>
      <c r="AP43" s="22">
        <v>43159</v>
      </c>
      <c r="AT43" s="1">
        <v>0.2037181865766643</v>
      </c>
    </row>
    <row r="44" spans="1:46" x14ac:dyDescent="0.25">
      <c r="A44" s="2">
        <v>41</v>
      </c>
      <c r="B44" s="1">
        <v>-4.3367000000000003E-2</v>
      </c>
      <c r="C44" s="1">
        <v>-2.5413000000000002E-2</v>
      </c>
      <c r="D44" s="1">
        <v>1.305E-3</v>
      </c>
      <c r="F44" s="1">
        <v>-4.3367000000000003E-2</v>
      </c>
      <c r="G44" s="1">
        <v>-2.5413000000000002E-2</v>
      </c>
      <c r="H44" s="1">
        <v>1.305E-3</v>
      </c>
      <c r="J44" s="4">
        <v>1919.5641955220233</v>
      </c>
      <c r="K44" s="4">
        <v>1405.7663620359433</v>
      </c>
      <c r="M44" s="1">
        <v>-4.3367000000000044E-2</v>
      </c>
      <c r="N44" s="1">
        <v>-6.1333353059000006E-2</v>
      </c>
      <c r="V44" s="1">
        <v>-0.23602973264597382</v>
      </c>
      <c r="W44" s="1">
        <v>0.11552464119159778</v>
      </c>
      <c r="X44" s="1">
        <v>3.1883833104976667E-2</v>
      </c>
      <c r="Z44" s="1">
        <v>0.62692827672052198</v>
      </c>
      <c r="AA44" s="1">
        <v>0.13991959142842592</v>
      </c>
      <c r="AB44" s="1">
        <v>1.0702881302848022E-2</v>
      </c>
      <c r="AD44" s="1">
        <v>0.15606188416254507</v>
      </c>
      <c r="AF44" s="4">
        <v>1.1885134251383702</v>
      </c>
      <c r="AH44" s="1">
        <v>0.40792712616201565</v>
      </c>
      <c r="AI44" s="1">
        <v>0.4101080175273506</v>
      </c>
      <c r="AP44" s="22">
        <v>43190</v>
      </c>
      <c r="AT44" s="1">
        <v>0.2039909345220649</v>
      </c>
    </row>
    <row r="45" spans="1:46" x14ac:dyDescent="0.25">
      <c r="A45" s="2">
        <v>42</v>
      </c>
      <c r="B45" s="1">
        <v>-9.5200000000000005E-4</v>
      </c>
      <c r="C45" s="1">
        <v>3.8370000000000001E-3</v>
      </c>
      <c r="D45" s="1">
        <v>1.3489999999999999E-3</v>
      </c>
      <c r="F45" s="1">
        <v>-9.5200000000000005E-4</v>
      </c>
      <c r="G45" s="1">
        <v>3.8370000000000001E-3</v>
      </c>
      <c r="H45" s="1">
        <v>1.3489999999999999E-3</v>
      </c>
      <c r="J45" s="4">
        <v>1917.7367704078863</v>
      </c>
      <c r="K45" s="4">
        <v>1411.1602875670753</v>
      </c>
      <c r="M45" s="1">
        <v>-4.4277714616000052E-2</v>
      </c>
      <c r="N45" s="1">
        <v>-5.7731689134687292E-2</v>
      </c>
      <c r="V45" s="1">
        <v>-0.22906375135044754</v>
      </c>
      <c r="W45" s="1">
        <v>0.12927650486317099</v>
      </c>
      <c r="X45" s="1">
        <v>3.1123023156730323E-2</v>
      </c>
      <c r="Z45" s="1">
        <v>0.54866035564289151</v>
      </c>
      <c r="AA45" s="1">
        <v>0.13266103408072794</v>
      </c>
      <c r="AB45" s="1">
        <v>1.1552450844696027E-2</v>
      </c>
      <c r="AD45" s="1">
        <v>0.16157224818496971</v>
      </c>
      <c r="AF45" s="4">
        <v>1.2247933420294794</v>
      </c>
      <c r="AH45" s="1">
        <v>0.34427798882383032</v>
      </c>
      <c r="AI45" s="1">
        <v>0.34698240745383724</v>
      </c>
      <c r="AP45" s="22">
        <v>43220</v>
      </c>
      <c r="AT45" s="1">
        <v>0.20173580863019691</v>
      </c>
    </row>
    <row r="46" spans="1:46" x14ac:dyDescent="0.25">
      <c r="A46" s="2">
        <v>43</v>
      </c>
      <c r="B46" s="1">
        <v>0.106167</v>
      </c>
      <c r="C46" s="1">
        <v>2.4081999999999999E-2</v>
      </c>
      <c r="D46" s="1">
        <v>1.493E-3</v>
      </c>
      <c r="F46" s="1">
        <v>0.106167</v>
      </c>
      <c r="G46" s="1">
        <v>2.4081999999999999E-2</v>
      </c>
      <c r="H46" s="1">
        <v>1.493E-3</v>
      </c>
      <c r="J46" s="4">
        <v>2121.33713011178</v>
      </c>
      <c r="K46" s="4">
        <v>1445.1438496122655</v>
      </c>
      <c r="M46" s="1">
        <v>0</v>
      </c>
      <c r="N46" s="1">
        <v>-3.5039983672428887E-2</v>
      </c>
      <c r="V46" s="1">
        <v>-0.24294382665236702</v>
      </c>
      <c r="W46" s="1">
        <v>0.13963935378821968</v>
      </c>
      <c r="X46" s="1">
        <v>3.0403010345510184E-2</v>
      </c>
      <c r="Z46" s="1">
        <v>0.58115344217274667</v>
      </c>
      <c r="AA46" s="1">
        <v>0.14384050961169437</v>
      </c>
      <c r="AB46" s="1">
        <v>1.2449154466201318E-2</v>
      </c>
      <c r="AD46" s="1">
        <v>0.16991737578305519</v>
      </c>
      <c r="AF46" s="4">
        <v>1.3049978170181313</v>
      </c>
      <c r="AH46" s="1">
        <v>0.34344282713508822</v>
      </c>
      <c r="AI46" s="1">
        <v>0.34868508838593559</v>
      </c>
      <c r="AP46" s="22">
        <v>43251</v>
      </c>
      <c r="AT46" s="1">
        <v>0.20477271059166177</v>
      </c>
    </row>
    <row r="47" spans="1:46" x14ac:dyDescent="0.25">
      <c r="A47" s="2">
        <v>44</v>
      </c>
      <c r="B47" s="1">
        <v>2.6703999999999999E-2</v>
      </c>
      <c r="C47" s="1">
        <v>6.1549999999999999E-3</v>
      </c>
      <c r="D47" s="1">
        <v>1.513E-3</v>
      </c>
      <c r="F47" s="1">
        <v>2.6703999999999999E-2</v>
      </c>
      <c r="G47" s="1">
        <v>6.1549999999999999E-3</v>
      </c>
      <c r="H47" s="1">
        <v>1.513E-3</v>
      </c>
      <c r="J47" s="4">
        <v>2177.9853168342852</v>
      </c>
      <c r="K47" s="4">
        <v>1454.0387100066289</v>
      </c>
      <c r="M47" s="1">
        <v>0</v>
      </c>
      <c r="N47" s="1">
        <v>-2.9100654771932799E-2</v>
      </c>
      <c r="V47" s="1">
        <v>-0.24880588513196622</v>
      </c>
      <c r="W47" s="1">
        <v>0.14471965687627608</v>
      </c>
      <c r="X47" s="1">
        <v>2.971787930511316E-2</v>
      </c>
      <c r="Z47" s="1">
        <v>0.57833406611377303</v>
      </c>
      <c r="AA47" s="1">
        <v>0.14374161280124897</v>
      </c>
      <c r="AB47" s="1">
        <v>1.3263599408527282E-2</v>
      </c>
      <c r="AD47" s="1">
        <v>0.17006184692821716</v>
      </c>
      <c r="AF47" s="4">
        <v>1.3064203536650485</v>
      </c>
      <c r="AH47" s="1">
        <v>0.3409316753804803</v>
      </c>
      <c r="AI47" s="1">
        <v>0.34643794497339475</v>
      </c>
      <c r="AP47" s="22">
        <v>43281</v>
      </c>
      <c r="AT47" s="1">
        <v>0.20241382017098911</v>
      </c>
    </row>
    <row r="48" spans="1:46" x14ac:dyDescent="0.25">
      <c r="A48" s="2">
        <v>45</v>
      </c>
      <c r="B48" s="1">
        <v>-5.5979999999999997E-3</v>
      </c>
      <c r="C48" s="1">
        <v>3.7213999999999997E-2</v>
      </c>
      <c r="D48" s="1">
        <v>1.622E-3</v>
      </c>
      <c r="F48" s="1">
        <v>-5.5979999999999997E-3</v>
      </c>
      <c r="G48" s="1">
        <v>3.7213999999999997E-2</v>
      </c>
      <c r="H48" s="1">
        <v>1.622E-3</v>
      </c>
      <c r="J48" s="4">
        <v>2165.7929550306467</v>
      </c>
      <c r="K48" s="4">
        <v>1508.1493065608156</v>
      </c>
      <c r="M48" s="1">
        <v>-5.5980000000001029E-3</v>
      </c>
      <c r="N48" s="1">
        <v>0</v>
      </c>
      <c r="V48" s="1">
        <v>-0.22376060616151983</v>
      </c>
      <c r="W48" s="1">
        <v>0.1382025028264835</v>
      </c>
      <c r="X48" s="1">
        <v>2.9068014566787204E-2</v>
      </c>
      <c r="Z48" s="1">
        <v>0.51562710228794573</v>
      </c>
      <c r="AA48" s="1">
        <v>0.16240233398627479</v>
      </c>
      <c r="AB48" s="1">
        <v>1.409076989700031E-2</v>
      </c>
      <c r="AD48" s="1">
        <v>0.17606100079517895</v>
      </c>
      <c r="AF48" s="4">
        <v>1.0618006709795873</v>
      </c>
      <c r="AH48" s="1">
        <v>0.30863459697764539</v>
      </c>
      <c r="AI48" s="1">
        <v>0.3088133455922295</v>
      </c>
      <c r="AP48" s="22">
        <v>43312</v>
      </c>
      <c r="AT48" s="1">
        <v>0.20052110642559662</v>
      </c>
    </row>
    <row r="49" spans="1:46" x14ac:dyDescent="0.25">
      <c r="A49" s="2">
        <v>46</v>
      </c>
      <c r="B49" s="1">
        <v>0.111303</v>
      </c>
      <c r="C49" s="1">
        <v>3.2585000000000003E-2</v>
      </c>
      <c r="D49" s="1">
        <v>1.686E-3</v>
      </c>
      <c r="F49" s="1">
        <v>0.111303</v>
      </c>
      <c r="G49" s="1">
        <v>3.2585000000000003E-2</v>
      </c>
      <c r="H49" s="1">
        <v>1.686E-3</v>
      </c>
      <c r="J49" s="4">
        <v>2406.8522083044227</v>
      </c>
      <c r="K49" s="4">
        <v>1557.2923517150998</v>
      </c>
      <c r="M49" s="1">
        <v>0</v>
      </c>
      <c r="N49" s="1">
        <v>0</v>
      </c>
      <c r="V49" s="1">
        <v>-0.19496461467317117</v>
      </c>
      <c r="W49" s="1">
        <v>0.14622969696705046</v>
      </c>
      <c r="X49" s="1">
        <v>2.8447861678016384E-2</v>
      </c>
      <c r="Z49" s="1">
        <v>0.51276710489085819</v>
      </c>
      <c r="AA49" s="1">
        <v>0.19661637132658694</v>
      </c>
      <c r="AB49" s="1">
        <v>1.4903352371550715E-2</v>
      </c>
      <c r="AD49" s="1">
        <v>0.17506816451885249</v>
      </c>
      <c r="AF49" s="4">
        <v>1.3274987788200494</v>
      </c>
      <c r="AH49" s="1">
        <v>0.20688269119520952</v>
      </c>
      <c r="AI49" s="1">
        <v>0.21303851903177518</v>
      </c>
      <c r="AP49" s="22">
        <v>43343</v>
      </c>
      <c r="AT49" s="1">
        <v>0.20381020470971145</v>
      </c>
    </row>
    <row r="50" spans="1:46" x14ac:dyDescent="0.25">
      <c r="A50" s="2">
        <v>47</v>
      </c>
      <c r="B50" s="1">
        <v>-4.4847999999999999E-2</v>
      </c>
      <c r="C50" s="1">
        <v>5.692E-3</v>
      </c>
      <c r="D50" s="1">
        <v>1.684E-3</v>
      </c>
      <c r="F50" s="1">
        <v>-4.4847999999999999E-2</v>
      </c>
      <c r="G50" s="1">
        <v>5.692E-3</v>
      </c>
      <c r="H50" s="1">
        <v>1.684E-3</v>
      </c>
      <c r="J50" s="4">
        <v>2298.9097004663859</v>
      </c>
      <c r="K50" s="4">
        <v>1566.1564597810623</v>
      </c>
      <c r="M50" s="1">
        <v>-4.4847999999999999E-2</v>
      </c>
      <c r="N50" s="1">
        <v>0</v>
      </c>
      <c r="V50" s="1">
        <v>-0.14625205806753117</v>
      </c>
      <c r="W50" s="1">
        <v>0.17362357478074997</v>
      </c>
      <c r="X50" s="1">
        <v>2.7855760537648822E-2</v>
      </c>
      <c r="Z50" s="1">
        <v>0.42602343715805713</v>
      </c>
      <c r="AA50" s="1">
        <v>0.17910493511071413</v>
      </c>
      <c r="AB50" s="1">
        <v>1.5736884422572039E-2</v>
      </c>
      <c r="AD50" s="1">
        <v>0.19218608374248311</v>
      </c>
      <c r="AF50" s="4">
        <v>1.4288003948208985</v>
      </c>
      <c r="AH50" s="1">
        <v>0.14261196956890965</v>
      </c>
      <c r="AI50" s="1">
        <v>0.14962448026815767</v>
      </c>
      <c r="AP50" s="22">
        <v>43373</v>
      </c>
      <c r="AT50" s="1">
        <v>0.20430928680983582</v>
      </c>
    </row>
    <row r="51" spans="1:46" x14ac:dyDescent="0.25">
      <c r="A51" s="2">
        <v>48</v>
      </c>
      <c r="B51" s="1">
        <v>-0.111167</v>
      </c>
      <c r="C51" s="1">
        <v>-6.8349999999999994E-2</v>
      </c>
      <c r="D51" s="1">
        <v>1.82E-3</v>
      </c>
      <c r="F51" s="1">
        <v>-0.111167</v>
      </c>
      <c r="G51" s="1">
        <v>-6.8349999999999994E-2</v>
      </c>
      <c r="H51" s="1">
        <v>1.82E-3</v>
      </c>
      <c r="J51" s="4">
        <v>2043.3468057946391</v>
      </c>
      <c r="K51" s="4">
        <v>1459.1096657550265</v>
      </c>
      <c r="M51" s="1">
        <v>-0.1510293823840001</v>
      </c>
      <c r="N51" s="1">
        <v>-6.8350000000000133E-2</v>
      </c>
      <c r="V51" s="1">
        <v>-0.14571531693062312</v>
      </c>
      <c r="W51" s="1">
        <v>0.16186003195289222</v>
      </c>
      <c r="X51" s="1">
        <v>2.72896773603577E-2</v>
      </c>
      <c r="Z51" s="1">
        <v>0.2176018030347493</v>
      </c>
      <c r="AA51" s="1">
        <v>7.3463834224273494E-2</v>
      </c>
      <c r="AB51" s="1">
        <v>1.6667474822456008E-2</v>
      </c>
      <c r="AD51" s="1">
        <v>0.23852787149361127</v>
      </c>
      <c r="AF51" s="4">
        <v>1.5687688199458492</v>
      </c>
      <c r="AH51" s="1">
        <v>0.1069049726901925</v>
      </c>
      <c r="AI51" s="1">
        <v>0.11719585844810498</v>
      </c>
      <c r="AP51" s="22">
        <v>43404</v>
      </c>
      <c r="AT51" s="1">
        <v>0.2124344844814238</v>
      </c>
    </row>
    <row r="52" spans="1:46" x14ac:dyDescent="0.25">
      <c r="A52" s="2">
        <v>49</v>
      </c>
      <c r="B52" s="1">
        <v>3.6809000000000001E-2</v>
      </c>
      <c r="C52" s="1">
        <v>2.0378E-2</v>
      </c>
      <c r="D52" s="1">
        <v>1.8439999999999999E-3</v>
      </c>
      <c r="F52" s="1">
        <v>3.6809000000000001E-2</v>
      </c>
      <c r="G52" s="1">
        <v>2.0378E-2</v>
      </c>
      <c r="H52" s="1">
        <v>1.8439999999999999E-3</v>
      </c>
      <c r="J52" s="4">
        <v>2118.5603583691341</v>
      </c>
      <c r="K52" s="4">
        <v>1488.8434025237825</v>
      </c>
      <c r="M52" s="1">
        <v>-0.11977962292017263</v>
      </c>
      <c r="N52" s="1">
        <v>-4.9364836300000103E-2</v>
      </c>
      <c r="V52" s="1">
        <v>-0.15004677468687477</v>
      </c>
      <c r="W52" s="1">
        <v>0.14737156777664162</v>
      </c>
      <c r="X52" s="1">
        <v>2.6749758240102839E-2</v>
      </c>
      <c r="Z52" s="1">
        <v>0.19559284569266389</v>
      </c>
      <c r="AA52" s="1">
        <v>6.274450623196115E-2</v>
      </c>
      <c r="AB52" s="1">
        <v>1.7633462963602353E-2</v>
      </c>
      <c r="AD52" s="1">
        <v>0.23603123859430905</v>
      </c>
      <c r="AF52" s="4">
        <v>1.5660515959525327</v>
      </c>
      <c r="AH52" s="1">
        <v>0.10388352676168577</v>
      </c>
      <c r="AI52" s="1">
        <v>0.11465265080006981</v>
      </c>
      <c r="AP52" s="22">
        <v>43434</v>
      </c>
      <c r="AT52" s="1">
        <v>0.21044156110060386</v>
      </c>
    </row>
    <row r="53" spans="1:46" x14ac:dyDescent="0.25">
      <c r="A53" s="2">
        <v>50</v>
      </c>
      <c r="B53" s="1">
        <v>-0.138261</v>
      </c>
      <c r="C53" s="1">
        <v>-9.0290999999999996E-2</v>
      </c>
      <c r="D53" s="1">
        <v>1.98E-3</v>
      </c>
      <c r="F53" s="1">
        <v>-0.138261</v>
      </c>
      <c r="G53" s="1">
        <v>-9.0290999999999996E-2</v>
      </c>
      <c r="H53" s="1">
        <v>1.98E-3</v>
      </c>
      <c r="J53" s="4">
        <v>1825.6460846606592</v>
      </c>
      <c r="K53" s="4">
        <v>1354.4142428665077</v>
      </c>
      <c r="M53" s="1">
        <v>-0.2414797724756067</v>
      </c>
      <c r="N53" s="1">
        <v>-0.13519863586563674</v>
      </c>
      <c r="V53" s="1">
        <v>-0.11783606952675285</v>
      </c>
      <c r="W53" s="1">
        <v>0.16344318363842114</v>
      </c>
      <c r="X53" s="1">
        <v>2.6235150641866767E-2</v>
      </c>
      <c r="Z53" s="1">
        <v>1.0341804998269977E-2</v>
      </c>
      <c r="AA53" s="1">
        <v>-4.384326471980915E-2</v>
      </c>
      <c r="AB53" s="1">
        <v>1.8628729861678517E-2</v>
      </c>
      <c r="AD53" s="1">
        <v>0.28242970556293051</v>
      </c>
      <c r="AF53" s="4">
        <v>1.5907324543583312</v>
      </c>
      <c r="AH53" s="1">
        <v>0.1056819017761681</v>
      </c>
      <c r="AI53" s="1">
        <v>0.11773177612584718</v>
      </c>
      <c r="AP53" s="22">
        <v>43465</v>
      </c>
      <c r="AT53" s="1">
        <v>0.22178267461537152</v>
      </c>
    </row>
    <row r="54" spans="1:46" x14ac:dyDescent="0.25">
      <c r="A54" s="2">
        <v>51</v>
      </c>
      <c r="B54" s="1">
        <v>0.15601699999999999</v>
      </c>
      <c r="C54" s="1">
        <v>8.0135999999999999E-2</v>
      </c>
      <c r="D54" s="1">
        <v>2.0309999999999998E-3</v>
      </c>
      <c r="F54" s="1">
        <v>0.15601699999999999</v>
      </c>
      <c r="G54" s="1">
        <v>8.0135999999999999E-2</v>
      </c>
      <c r="H54" s="1">
        <v>2.0309999999999998E-3</v>
      </c>
      <c r="J54" s="4">
        <v>2110.4779098511613</v>
      </c>
      <c r="K54" s="4">
        <v>1462.9515826328582</v>
      </c>
      <c r="M54" s="1">
        <v>-0.12313772213793339</v>
      </c>
      <c r="N54" s="1">
        <v>-6.5896913749365349E-2</v>
      </c>
      <c r="V54" s="1">
        <v>-9.0481582946502104E-2</v>
      </c>
      <c r="W54" s="1">
        <v>0.17506336906486153</v>
      </c>
      <c r="X54" s="1">
        <v>2.5741690654707661E-2</v>
      </c>
      <c r="Z54" s="1">
        <v>5.1887094524099675E-2</v>
      </c>
      <c r="AA54" s="1">
        <v>-2.3149298637220372E-2</v>
      </c>
      <c r="AB54" s="1">
        <v>1.9576031177732656E-2</v>
      </c>
      <c r="AD54" s="1">
        <v>0.30406018693912318</v>
      </c>
      <c r="AF54" s="4">
        <v>1.6310757362327133</v>
      </c>
      <c r="AH54" s="1">
        <v>0.11636003649351423</v>
      </c>
      <c r="AI54" s="1">
        <v>0.13002913111527681</v>
      </c>
      <c r="AP54" s="22">
        <v>43496</v>
      </c>
      <c r="AT54" s="1">
        <v>0.23008402932138147</v>
      </c>
    </row>
    <row r="55" spans="1:46" x14ac:dyDescent="0.25">
      <c r="A55" s="2">
        <v>52</v>
      </c>
      <c r="B55" s="1">
        <v>8.1118999999999997E-2</v>
      </c>
      <c r="C55" s="1">
        <v>3.2107999999999998E-2</v>
      </c>
      <c r="D55" s="1">
        <v>1.8519999999999999E-3</v>
      </c>
      <c r="F55" s="1">
        <v>8.1118999999999997E-2</v>
      </c>
      <c r="G55" s="1">
        <v>3.2107999999999998E-2</v>
      </c>
      <c r="H55" s="1">
        <v>1.8519999999999999E-3</v>
      </c>
      <c r="J55" s="4">
        <v>2281.6777674203777</v>
      </c>
      <c r="K55" s="4">
        <v>1509.924032048034</v>
      </c>
      <c r="M55" s="1">
        <v>-5.200753102004041E-2</v>
      </c>
      <c r="N55" s="1">
        <v>-3.5904731856030048E-2</v>
      </c>
      <c r="V55" s="1">
        <v>-6.2605482315234884E-2</v>
      </c>
      <c r="W55" s="1">
        <v>0.1767589414081312</v>
      </c>
      <c r="X55" s="1">
        <v>2.5263885044761292E-2</v>
      </c>
      <c r="Z55" s="1">
        <v>0.13709572869328679</v>
      </c>
      <c r="AA55" s="1">
        <v>4.6797229157181874E-2</v>
      </c>
      <c r="AB55" s="1">
        <v>2.0366371771447067E-2</v>
      </c>
      <c r="AD55" s="1">
        <v>0.31251535671300146</v>
      </c>
      <c r="AF55" s="4">
        <v>1.7411221512648538</v>
      </c>
      <c r="AH55" s="1">
        <v>7.5182005514428774E-2</v>
      </c>
      <c r="AI55" s="1">
        <v>9.1288255543561236E-2</v>
      </c>
      <c r="AP55" s="22">
        <v>43524</v>
      </c>
      <c r="AT55" s="1">
        <v>0.22989367352373968</v>
      </c>
    </row>
    <row r="56" spans="1:46" x14ac:dyDescent="0.25">
      <c r="A56" s="2">
        <v>53</v>
      </c>
      <c r="B56" s="1">
        <v>4.1609999999999998E-3</v>
      </c>
      <c r="C56" s="1">
        <v>1.9432000000000001E-2</v>
      </c>
      <c r="D56" s="1">
        <v>2.0730000000000002E-3</v>
      </c>
      <c r="F56" s="1">
        <v>4.1609999999999998E-3</v>
      </c>
      <c r="G56" s="1">
        <v>1.9432000000000001E-2</v>
      </c>
      <c r="H56" s="1">
        <v>2.0730000000000002E-3</v>
      </c>
      <c r="J56" s="4">
        <v>2291.1718286106138</v>
      </c>
      <c r="K56" s="4">
        <v>1539.2648758387911</v>
      </c>
      <c r="M56" s="1">
        <v>-4.8062934356614795E-2</v>
      </c>
      <c r="N56" s="1">
        <v>-1.7170432605456587E-2</v>
      </c>
      <c r="V56" s="1">
        <v>-3.2711944024151007E-2</v>
      </c>
      <c r="W56" s="1">
        <v>0.18557483446253009</v>
      </c>
      <c r="X56" s="1">
        <v>2.4881336798803888E-2</v>
      </c>
      <c r="Z56" s="1">
        <v>0.19358958348748168</v>
      </c>
      <c r="AA56" s="1">
        <v>9.4964936854446069E-2</v>
      </c>
      <c r="AB56" s="1">
        <v>2.1148991825796548E-2</v>
      </c>
      <c r="AD56" s="1">
        <v>0.30647143069282839</v>
      </c>
      <c r="AF56" s="4">
        <v>1.7169239127765334</v>
      </c>
      <c r="AH56" s="1">
        <v>4.5573723371024943E-2</v>
      </c>
      <c r="AI56" s="1">
        <v>6.1326351442199112E-2</v>
      </c>
      <c r="AP56" s="22">
        <v>43555</v>
      </c>
      <c r="AT56" s="1">
        <v>0.22777008162658866</v>
      </c>
    </row>
    <row r="57" spans="1:46" x14ac:dyDescent="0.25">
      <c r="A57" s="2">
        <v>54</v>
      </c>
      <c r="B57" s="1">
        <v>1.9001000000000001E-2</v>
      </c>
      <c r="C57" s="1">
        <v>4.0489999999999998E-2</v>
      </c>
      <c r="D57" s="1">
        <v>2.013E-3</v>
      </c>
      <c r="F57" s="1">
        <v>1.9001000000000001E-2</v>
      </c>
      <c r="G57" s="1">
        <v>4.0489999999999998E-2</v>
      </c>
      <c r="H57" s="1">
        <v>2.013E-3</v>
      </c>
      <c r="J57" s="4">
        <v>2334.7063845260441</v>
      </c>
      <c r="K57" s="4">
        <v>1601.5897106615037</v>
      </c>
      <c r="M57" s="1">
        <v>-2.9975178172324868E-2</v>
      </c>
      <c r="N57" s="1">
        <v>0</v>
      </c>
      <c r="V57" s="1">
        <v>1.5237133582020057E-2</v>
      </c>
      <c r="W57" s="1">
        <v>0.21394988535896364</v>
      </c>
      <c r="X57" s="1">
        <v>2.4601603839740305E-2</v>
      </c>
      <c r="Z57" s="1">
        <v>0.21742797059133023</v>
      </c>
      <c r="AA57" s="1">
        <v>0.13494528210026369</v>
      </c>
      <c r="AB57" s="1">
        <v>2.1826121308696544E-2</v>
      </c>
      <c r="AD57" s="1">
        <v>0.30574175540374532</v>
      </c>
      <c r="AF57" s="4">
        <v>1.6485734301558432</v>
      </c>
      <c r="AH57" s="1">
        <v>1.1272871224343284E-2</v>
      </c>
      <c r="AI57" s="1">
        <v>2.5424994360139008E-2</v>
      </c>
      <c r="AP57" s="22">
        <v>43585</v>
      </c>
      <c r="AT57" s="1">
        <v>0.22561165867187591</v>
      </c>
    </row>
    <row r="58" spans="1:46" x14ac:dyDescent="0.25">
      <c r="A58" s="2">
        <v>55</v>
      </c>
      <c r="B58" s="1">
        <v>-0.13212499999999999</v>
      </c>
      <c r="C58" s="1">
        <v>-6.3547999999999993E-2</v>
      </c>
      <c r="D58" s="1">
        <v>2.0899999999999998E-3</v>
      </c>
      <c r="F58" s="1">
        <v>-0.13212499999999999</v>
      </c>
      <c r="G58" s="1">
        <v>-6.3547999999999993E-2</v>
      </c>
      <c r="H58" s="1">
        <v>2.0899999999999998E-3</v>
      </c>
      <c r="J58" s="4">
        <v>2026.2333034705405</v>
      </c>
      <c r="K58" s="4">
        <v>1499.8118877283866</v>
      </c>
      <c r="M58" s="1">
        <v>-0.15813970775630648</v>
      </c>
      <c r="N58" s="1">
        <v>-6.3547999999999827E-2</v>
      </c>
      <c r="V58" s="1">
        <v>-2.3676014945574142E-2</v>
      </c>
      <c r="W58" s="1">
        <v>0.17537903513608444</v>
      </c>
      <c r="X58" s="1">
        <v>2.4431023348905345E-2</v>
      </c>
      <c r="Z58" s="1">
        <v>-4.4832019055937256E-2</v>
      </c>
      <c r="AA58" s="1">
        <v>3.7828786477407395E-2</v>
      </c>
      <c r="AB58" s="1">
        <v>2.2435242085797391E-2</v>
      </c>
      <c r="AD58" s="1">
        <v>0.32484302114140101</v>
      </c>
      <c r="AF58" s="4">
        <v>1.6701519490512515</v>
      </c>
      <c r="AH58" s="1">
        <v>-8.0594563586454115E-2</v>
      </c>
      <c r="AI58" s="1">
        <v>-6.6714255964130831E-2</v>
      </c>
      <c r="AP58" s="22">
        <v>43616</v>
      </c>
      <c r="AT58" s="1">
        <v>0.23424529789470222</v>
      </c>
    </row>
    <row r="59" spans="1:46" x14ac:dyDescent="0.25">
      <c r="A59" s="2">
        <v>56</v>
      </c>
      <c r="B59" s="1">
        <v>0.17175699999999999</v>
      </c>
      <c r="C59" s="1">
        <v>7.0475999999999997E-2</v>
      </c>
      <c r="D59" s="1">
        <v>2.0179999999999998E-3</v>
      </c>
      <c r="F59" s="1">
        <v>0.17175699999999999</v>
      </c>
      <c r="G59" s="1">
        <v>7.0475999999999997E-2</v>
      </c>
      <c r="H59" s="1">
        <v>2.0179999999999998E-3</v>
      </c>
      <c r="J59" s="4">
        <v>2374.25305697473</v>
      </c>
      <c r="K59" s="4">
        <v>1605.5126303279324</v>
      </c>
      <c r="M59" s="1">
        <v>-1.3544309541406396E-2</v>
      </c>
      <c r="N59" s="1">
        <v>0</v>
      </c>
      <c r="V59" s="1">
        <v>-1.9934961250868355E-2</v>
      </c>
      <c r="W59" s="1">
        <v>0.15061527559557186</v>
      </c>
      <c r="X59" s="1">
        <v>2.4266561914286999E-2</v>
      </c>
      <c r="Z59" s="1">
        <v>9.0114354134270158E-2</v>
      </c>
      <c r="AA59" s="1">
        <v>0.10417461328839916</v>
      </c>
      <c r="AB59" s="1">
        <v>2.2950791856247932E-2</v>
      </c>
      <c r="AD59" s="1">
        <v>0.3673315545221188</v>
      </c>
      <c r="AF59" s="4">
        <v>1.7848416510471874</v>
      </c>
      <c r="AH59" s="1">
        <v>-5.785500440615754E-2</v>
      </c>
      <c r="AI59" s="1">
        <v>-4.0787589794700319E-2</v>
      </c>
      <c r="AP59" s="22">
        <v>43646</v>
      </c>
      <c r="AT59" s="1">
        <v>0.24315653860561973</v>
      </c>
    </row>
    <row r="60" spans="1:46" x14ac:dyDescent="0.25">
      <c r="A60" s="2">
        <v>57</v>
      </c>
      <c r="B60" s="1">
        <v>7.3569999999999998E-3</v>
      </c>
      <c r="C60" s="1">
        <v>1.4371999999999999E-2</v>
      </c>
      <c r="D60" s="1">
        <v>1.9989999999999999E-3</v>
      </c>
      <c r="F60" s="1">
        <v>7.3569999999999998E-3</v>
      </c>
      <c r="G60" s="1">
        <v>1.4371999999999999E-2</v>
      </c>
      <c r="H60" s="1">
        <v>1.9989999999999999E-3</v>
      </c>
      <c r="J60" s="4">
        <v>2391.7204367148934</v>
      </c>
      <c r="K60" s="4">
        <v>1628.5870578510055</v>
      </c>
      <c r="M60" s="1">
        <v>-6.286955026702401E-3</v>
      </c>
      <c r="N60" s="1">
        <v>0</v>
      </c>
      <c r="V60" s="1">
        <v>-1.416239818720233E-2</v>
      </c>
      <c r="W60" s="1">
        <v>0.14769195650184352</v>
      </c>
      <c r="X60" s="1">
        <v>2.412598318145176E-2</v>
      </c>
      <c r="Z60" s="1">
        <v>0.10431628801796067</v>
      </c>
      <c r="AA60" s="1">
        <v>7.9857976107707618E-2</v>
      </c>
      <c r="AB60" s="1">
        <v>2.3335819789470413E-2</v>
      </c>
      <c r="AD60" s="1">
        <v>0.36686928185526785</v>
      </c>
      <c r="AF60" s="4">
        <v>1.8432403163307132</v>
      </c>
      <c r="AH60" s="1">
        <v>-1.1125962451213556E-2</v>
      </c>
      <c r="AI60" s="1">
        <v>8.2969236585632711E-3</v>
      </c>
      <c r="AP60" s="22">
        <v>43677</v>
      </c>
      <c r="AT60" s="1">
        <v>0.24102518970111539</v>
      </c>
    </row>
    <row r="61" spans="1:46" x14ac:dyDescent="0.25">
      <c r="A61" s="2">
        <v>58</v>
      </c>
      <c r="B61" s="1">
        <v>-8.3866999999999997E-2</v>
      </c>
      <c r="C61" s="1">
        <v>-1.584E-2</v>
      </c>
      <c r="D61" s="1">
        <v>1.9E-3</v>
      </c>
      <c r="F61" s="1">
        <v>-8.3866999999999997E-2</v>
      </c>
      <c r="G61" s="1">
        <v>-1.584E-2</v>
      </c>
      <c r="H61" s="1">
        <v>1.9E-3</v>
      </c>
      <c r="J61" s="4">
        <v>2191.1340188489253</v>
      </c>
      <c r="K61" s="4">
        <v>1602.7902388546456</v>
      </c>
      <c r="M61" s="1">
        <v>-8.9626686969478064E-2</v>
      </c>
      <c r="N61" s="1">
        <v>-1.5839999999999965E-2</v>
      </c>
      <c r="V61" s="1">
        <v>-1.5062505704392937E-2</v>
      </c>
      <c r="W61" s="1">
        <v>0.15203512265436259</v>
      </c>
      <c r="X61" s="1">
        <v>2.4006561082028588E-2</v>
      </c>
      <c r="Z61" s="1">
        <v>-8.9626686969477731E-2</v>
      </c>
      <c r="AA61" s="1">
        <v>2.9216021699096872E-2</v>
      </c>
      <c r="AB61" s="1">
        <v>2.3554445052711426E-2</v>
      </c>
      <c r="AD61" s="1">
        <v>0.36194788463873434</v>
      </c>
      <c r="AF61" s="4">
        <v>1.8291560497751789</v>
      </c>
      <c r="AH61" s="1">
        <v>-0.11044009513163155</v>
      </c>
      <c r="AI61" s="1">
        <v>-9.292715226669479E-2</v>
      </c>
      <c r="AP61" s="22">
        <v>43708</v>
      </c>
      <c r="AT61" s="1">
        <v>0.24333726733858016</v>
      </c>
    </row>
    <row r="62" spans="1:46" x14ac:dyDescent="0.25">
      <c r="A62" s="2">
        <v>59</v>
      </c>
      <c r="B62" s="1">
        <v>-3.1453000000000002E-2</v>
      </c>
      <c r="C62" s="1">
        <v>1.8710000000000001E-2</v>
      </c>
      <c r="D62" s="1">
        <v>1.7160000000000001E-3</v>
      </c>
      <c r="F62" s="1">
        <v>-3.1453000000000002E-2</v>
      </c>
      <c r="G62" s="1">
        <v>1.8710000000000001E-2</v>
      </c>
      <c r="H62" s="1">
        <v>1.7160000000000001E-3</v>
      </c>
      <c r="J62" s="4">
        <v>2122.2162805540702</v>
      </c>
      <c r="K62" s="4">
        <v>1632.7784442236161</v>
      </c>
      <c r="M62" s="1">
        <v>-0.11826065878422698</v>
      </c>
      <c r="N62" s="1">
        <v>0</v>
      </c>
      <c r="V62" s="1">
        <v>1.1337751262986639E-2</v>
      </c>
      <c r="W62" s="1">
        <v>0.15763976279220726</v>
      </c>
      <c r="X62" s="1">
        <v>2.3904717006154153E-2</v>
      </c>
      <c r="Z62" s="1">
        <v>-7.6859660854216694E-2</v>
      </c>
      <c r="AA62" s="1">
        <v>4.2538524185423476E-2</v>
      </c>
      <c r="AB62" s="1">
        <v>2.3587143730379845E-2</v>
      </c>
      <c r="AD62" s="1">
        <v>0.36049675997837916</v>
      </c>
      <c r="AF62" s="4">
        <v>1.8062807898876763</v>
      </c>
      <c r="AH62" s="1">
        <v>-0.11856985460777769</v>
      </c>
      <c r="AI62" s="1">
        <v>-0.10166010885196708</v>
      </c>
      <c r="AP62" s="22">
        <v>43738</v>
      </c>
      <c r="AT62" s="1">
        <v>0.24218021519921976</v>
      </c>
    </row>
    <row r="63" spans="1:46" x14ac:dyDescent="0.25">
      <c r="A63" s="2">
        <v>60</v>
      </c>
      <c r="B63" s="1">
        <v>2.4819000000000001E-2</v>
      </c>
      <c r="C63" s="1">
        <v>2.1659999999999999E-2</v>
      </c>
      <c r="D63" s="1">
        <v>1.6930000000000001E-3</v>
      </c>
      <c r="F63" s="1">
        <v>2.4819000000000001E-2</v>
      </c>
      <c r="G63" s="1">
        <v>2.1659999999999999E-2</v>
      </c>
      <c r="H63" s="1">
        <v>1.6930000000000001E-3</v>
      </c>
      <c r="J63" s="4">
        <v>2174.8875664211414</v>
      </c>
      <c r="K63" s="4">
        <v>1668.1444253254997</v>
      </c>
      <c r="M63" s="1">
        <v>-9.6376770074592777E-2</v>
      </c>
      <c r="N63" s="1">
        <v>0</v>
      </c>
      <c r="V63" s="1">
        <v>1.611777595284658E-2</v>
      </c>
      <c r="W63" s="1">
        <v>0.15977877463995838</v>
      </c>
      <c r="X63" s="1">
        <v>2.384798315418224E-2</v>
      </c>
      <c r="Z63" s="1">
        <v>6.4375151713586654E-2</v>
      </c>
      <c r="AA63" s="1">
        <v>0.14326185651186596</v>
      </c>
      <c r="AB63" s="1">
        <v>2.3457384325243691E-2</v>
      </c>
      <c r="AD63" s="1">
        <v>0.34055518809411517</v>
      </c>
      <c r="AF63" s="4">
        <v>1.8742358469598013</v>
      </c>
      <c r="AH63" s="1">
        <v>-0.15067619008429223</v>
      </c>
      <c r="AI63" s="1">
        <v>-0.13296835668714246</v>
      </c>
      <c r="AP63" s="22">
        <v>43769</v>
      </c>
      <c r="AT63" s="1">
        <v>0.24015716430655593</v>
      </c>
    </row>
    <row r="64" spans="1:46" x14ac:dyDescent="0.25">
      <c r="A64" s="2">
        <v>61</v>
      </c>
      <c r="B64" s="1">
        <v>0.13744700000000001</v>
      </c>
      <c r="C64" s="1">
        <v>3.6298999999999998E-2</v>
      </c>
      <c r="D64" s="1">
        <v>1.4890000000000001E-3</v>
      </c>
      <c r="F64" s="1">
        <v>0.13744700000000001</v>
      </c>
      <c r="G64" s="1">
        <v>3.6298999999999998E-2</v>
      </c>
      <c r="H64" s="1">
        <v>1.4890000000000001E-3</v>
      </c>
      <c r="J64" s="4">
        <v>2473.8193377630282</v>
      </c>
      <c r="K64" s="4">
        <v>1728.6963998203901</v>
      </c>
      <c r="M64" s="1">
        <v>0</v>
      </c>
      <c r="N64" s="1">
        <v>0</v>
      </c>
      <c r="V64" s="1">
        <v>9.484971969119238E-3</v>
      </c>
      <c r="W64" s="1">
        <v>0.16119068823189653</v>
      </c>
      <c r="X64" s="1">
        <v>2.3797736791642432E-2</v>
      </c>
      <c r="Z64" s="1">
        <v>0.16768886380342352</v>
      </c>
      <c r="AA64" s="1">
        <v>0.16110021839101796</v>
      </c>
      <c r="AB64" s="1">
        <v>2.3094725696319873E-2</v>
      </c>
      <c r="AD64" s="1">
        <v>0.36342506145434011</v>
      </c>
      <c r="AF64" s="4">
        <v>1.9407836953735045</v>
      </c>
      <c r="AH64" s="1">
        <v>-9.7659238586243813E-2</v>
      </c>
      <c r="AI64" s="1">
        <v>-7.7921978612055298E-2</v>
      </c>
      <c r="AP64" s="22">
        <v>43799</v>
      </c>
      <c r="AT64" s="1">
        <v>0.24422079284406475</v>
      </c>
    </row>
    <row r="65" spans="1:46" x14ac:dyDescent="0.25">
      <c r="A65" s="2">
        <v>62</v>
      </c>
      <c r="B65" s="1">
        <v>-5.5880000000000001E-3</v>
      </c>
      <c r="C65" s="1">
        <v>3.0182E-2</v>
      </c>
      <c r="D65" s="1">
        <v>1.4239999999999999E-3</v>
      </c>
      <c r="F65" s="1">
        <v>-5.5880000000000001E-3</v>
      </c>
      <c r="G65" s="1">
        <v>3.0182E-2</v>
      </c>
      <c r="H65" s="1">
        <v>1.4239999999999999E-3</v>
      </c>
      <c r="J65" s="4">
        <v>2459.9956353036082</v>
      </c>
      <c r="K65" s="4">
        <v>1780.871914559769</v>
      </c>
      <c r="M65" s="1">
        <v>-5.5880000000000374E-3</v>
      </c>
      <c r="N65" s="1">
        <v>0</v>
      </c>
      <c r="V65" s="1">
        <v>-7.6363093427646023E-3</v>
      </c>
      <c r="W65" s="1">
        <v>0.15482078637285324</v>
      </c>
      <c r="X65" s="1">
        <v>2.3785507154117536E-2</v>
      </c>
      <c r="Z65" s="1">
        <v>0.34746578538570283</v>
      </c>
      <c r="AA65" s="1">
        <v>0.31486502297162677</v>
      </c>
      <c r="AB65" s="1">
        <v>2.2527009107678353E-2</v>
      </c>
      <c r="AD65" s="1">
        <v>0.32318409564533174</v>
      </c>
      <c r="AF65" s="4">
        <v>2.2575767021294073</v>
      </c>
      <c r="AH65" s="1">
        <v>-0.25713030409766535</v>
      </c>
      <c r="AI65" s="1">
        <v>-0.23528860758934722</v>
      </c>
      <c r="AP65" s="22">
        <v>43830</v>
      </c>
      <c r="AT65" s="1">
        <v>0.24242202295716037</v>
      </c>
    </row>
    <row r="66" spans="1:46" x14ac:dyDescent="0.25">
      <c r="A66" s="2">
        <v>63</v>
      </c>
      <c r="B66" s="1">
        <v>2.6564000000000001E-2</v>
      </c>
      <c r="C66" s="1">
        <v>-3.9199999999999999E-4</v>
      </c>
      <c r="D66" s="1">
        <v>1.3470000000000001E-3</v>
      </c>
      <c r="F66" s="1">
        <v>2.6564000000000001E-2</v>
      </c>
      <c r="G66" s="1">
        <v>-3.9199999999999999E-4</v>
      </c>
      <c r="H66" s="1">
        <v>1.3470000000000001E-3</v>
      </c>
      <c r="J66" s="4">
        <v>2525.3429593598134</v>
      </c>
      <c r="K66" s="4">
        <v>1780.1738127692618</v>
      </c>
      <c r="M66" s="1">
        <v>0</v>
      </c>
      <c r="N66" s="1">
        <v>-3.9199999999994795E-4</v>
      </c>
      <c r="V66" s="1">
        <v>-6.1288764780627059E-3</v>
      </c>
      <c r="W66" s="1">
        <v>0.15532115674662883</v>
      </c>
      <c r="X66" s="1">
        <v>2.3792933963122653E-2</v>
      </c>
      <c r="Z66" s="1">
        <v>0.19657398334859133</v>
      </c>
      <c r="AA66" s="1">
        <v>0.21683713521503023</v>
      </c>
      <c r="AB66" s="1">
        <v>2.1829018252874866E-2</v>
      </c>
      <c r="AD66" s="1">
        <v>0.29214066681900785</v>
      </c>
      <c r="AF66" s="4">
        <v>2.1851780457104417</v>
      </c>
      <c r="AH66" s="1">
        <v>-0.20438289593194425</v>
      </c>
      <c r="AI66" s="1">
        <v>-0.18345168681389046</v>
      </c>
      <c r="AP66" s="22">
        <v>43861</v>
      </c>
      <c r="AT66" s="1">
        <v>0.24049495677509536</v>
      </c>
    </row>
    <row r="67" spans="1:46" x14ac:dyDescent="0.25">
      <c r="A67" s="2">
        <v>64</v>
      </c>
      <c r="B67" s="1">
        <v>1.5977000000000002E-2</v>
      </c>
      <c r="C67" s="1">
        <v>-8.2319000000000003E-2</v>
      </c>
      <c r="D67" s="1">
        <v>1.263E-3</v>
      </c>
      <c r="F67" s="1">
        <v>1.5977000000000002E-2</v>
      </c>
      <c r="G67" s="1">
        <v>-8.2319000000000003E-2</v>
      </c>
      <c r="H67" s="1">
        <v>1.263E-3</v>
      </c>
      <c r="J67" s="4">
        <v>2565.6903638215049</v>
      </c>
      <c r="K67" s="4">
        <v>1633.6316846759089</v>
      </c>
      <c r="M67" s="1">
        <v>0</v>
      </c>
      <c r="N67" s="1">
        <v>-8.2678730951999957E-2</v>
      </c>
      <c r="V67" s="1">
        <v>2.3950192638714896E-2</v>
      </c>
      <c r="W67" s="1">
        <v>0.16753167456893525</v>
      </c>
      <c r="X67" s="1">
        <v>2.3803768719258711E-2</v>
      </c>
      <c r="Z67" s="1">
        <v>0.12447533146725887</v>
      </c>
      <c r="AA67" s="1">
        <v>8.192971964296758E-2</v>
      </c>
      <c r="AB67" s="1">
        <v>2.1228273540331299E-2</v>
      </c>
      <c r="AD67" s="1">
        <v>0.28400084188159469</v>
      </c>
      <c r="AF67" s="4">
        <v>1.2153471752721487</v>
      </c>
      <c r="AH67" s="1">
        <v>4.6200039911078239E-2</v>
      </c>
      <c r="AI67" s="1">
        <v>5.0561800687346503E-2</v>
      </c>
      <c r="AP67" s="22">
        <v>43890</v>
      </c>
      <c r="AT67" s="1">
        <v>0.23857921427203937</v>
      </c>
    </row>
    <row r="68" spans="1:46" x14ac:dyDescent="0.25">
      <c r="A68" s="2">
        <v>65</v>
      </c>
      <c r="B68" s="1">
        <v>-0.16294900000000001</v>
      </c>
      <c r="C68" s="1">
        <v>-0.123513</v>
      </c>
      <c r="D68" s="1">
        <v>1.263E-3</v>
      </c>
      <c r="F68" s="1">
        <v>-0.16294900000000001</v>
      </c>
      <c r="G68" s="1">
        <v>-0.123513</v>
      </c>
      <c r="H68" s="1">
        <v>1.263E-3</v>
      </c>
      <c r="J68" s="4">
        <v>2147.6136847271546</v>
      </c>
      <c r="K68" s="4">
        <v>1431.8569344065334</v>
      </c>
      <c r="M68" s="1">
        <v>-0.16294900000000001</v>
      </c>
      <c r="N68" s="1">
        <v>-0.19597983285592557</v>
      </c>
      <c r="V68" s="1">
        <v>-2.8535568322659577E-3</v>
      </c>
      <c r="W68" s="1">
        <v>0.15071972487340068</v>
      </c>
      <c r="X68" s="1">
        <v>2.3827851256800647E-2</v>
      </c>
      <c r="Z68" s="1">
        <v>-6.2657083196817398E-2</v>
      </c>
      <c r="AA68" s="1">
        <v>-6.9778725622988147E-2</v>
      </c>
      <c r="AB68" s="1">
        <v>2.0402789866419857E-2</v>
      </c>
      <c r="AD68" s="1">
        <v>0.33428388196316561</v>
      </c>
      <c r="AF68" s="4">
        <v>1.2857948898403302</v>
      </c>
      <c r="AH68" s="1">
        <v>5.7071624992339087E-2</v>
      </c>
      <c r="AI68" s="1">
        <v>6.3410563437803713E-2</v>
      </c>
      <c r="AP68" s="22">
        <v>43921</v>
      </c>
      <c r="AT68" s="1">
        <v>0.24903911873105086</v>
      </c>
    </row>
    <row r="69" spans="1:46" x14ac:dyDescent="0.25">
      <c r="A69" s="2">
        <v>66</v>
      </c>
      <c r="B69" s="1">
        <v>0.23979200000000001</v>
      </c>
      <c r="C69" s="1">
        <v>0.128194</v>
      </c>
      <c r="D69" s="1">
        <v>8.1999999999999998E-4</v>
      </c>
      <c r="F69" s="1">
        <v>0.23979200000000001</v>
      </c>
      <c r="G69" s="1">
        <v>0.128194</v>
      </c>
      <c r="H69" s="1">
        <v>8.1999999999999998E-4</v>
      </c>
      <c r="J69" s="4">
        <v>2662.5942654152486</v>
      </c>
      <c r="K69" s="4">
        <v>1615.4124022558444</v>
      </c>
      <c r="M69" s="1">
        <v>0</v>
      </c>
      <c r="N69" s="1">
        <v>-9.2909271549058148E-2</v>
      </c>
      <c r="V69" s="1">
        <v>6.0816194562818282E-4</v>
      </c>
      <c r="W69" s="1">
        <v>0.15659135530572854</v>
      </c>
      <c r="X69" s="1">
        <v>2.3836900090355773E-2</v>
      </c>
      <c r="Z69" s="1">
        <v>0.14044073510158595</v>
      </c>
      <c r="AA69" s="1">
        <v>8.6306071413453367E-3</v>
      </c>
      <c r="AB69" s="1">
        <v>1.9187894921632864E-2</v>
      </c>
      <c r="AD69" s="1">
        <v>0.41251900557197468</v>
      </c>
      <c r="AF69" s="4">
        <v>1.4869216271717727</v>
      </c>
      <c r="AH69" s="1">
        <v>0.16852561274566846</v>
      </c>
      <c r="AI69" s="1">
        <v>0.17921912868271761</v>
      </c>
      <c r="AP69" s="22">
        <v>43951</v>
      </c>
      <c r="AT69" s="1">
        <v>0.26514639240528703</v>
      </c>
    </row>
    <row r="70" spans="1:46" x14ac:dyDescent="0.25">
      <c r="A70" s="2">
        <v>67</v>
      </c>
      <c r="B70" s="1">
        <v>0.14254800000000001</v>
      </c>
      <c r="C70" s="1">
        <v>4.7627999999999997E-2</v>
      </c>
      <c r="D70" s="1">
        <v>4.3100000000000001E-4</v>
      </c>
      <c r="F70" s="1">
        <v>0.14254800000000001</v>
      </c>
      <c r="G70" s="1">
        <v>4.7627999999999997E-2</v>
      </c>
      <c r="H70" s="1">
        <v>4.3100000000000001E-4</v>
      </c>
      <c r="J70" s="4">
        <v>3042.1417527616618</v>
      </c>
      <c r="K70" s="4">
        <v>1692.3512641504858</v>
      </c>
      <c r="M70" s="1">
        <v>0</v>
      </c>
      <c r="N70" s="1">
        <v>-4.970635433439663E-2</v>
      </c>
      <c r="V70" s="1">
        <v>1.3435120285765212E-3</v>
      </c>
      <c r="W70" s="1">
        <v>0.15806772967077709</v>
      </c>
      <c r="X70" s="1">
        <v>2.3856659033195227E-2</v>
      </c>
      <c r="Z70" s="1">
        <v>0.50137782631006478</v>
      </c>
      <c r="AA70" s="1">
        <v>0.1283756836423795</v>
      </c>
      <c r="AB70" s="1">
        <v>1.7500588674016049E-2</v>
      </c>
      <c r="AD70" s="1">
        <v>0.39504715240220489</v>
      </c>
      <c r="AF70" s="4">
        <v>1.4499676631323615</v>
      </c>
      <c r="AH70" s="1">
        <v>0.30796219688748305</v>
      </c>
      <c r="AI70" s="1">
        <v>0.31754391662904591</v>
      </c>
      <c r="AP70" s="22">
        <v>43982</v>
      </c>
      <c r="AT70" s="1">
        <v>0.26837248321853835</v>
      </c>
    </row>
    <row r="71" spans="1:46" x14ac:dyDescent="0.25">
      <c r="A71" s="2">
        <v>68</v>
      </c>
      <c r="B71" s="1">
        <v>0.13078899999999999</v>
      </c>
      <c r="C71" s="1">
        <v>1.9886999999999998E-2</v>
      </c>
      <c r="D71" s="1">
        <v>9.8999999999999994E-5</v>
      </c>
      <c r="F71" s="1">
        <v>0.13078899999999999</v>
      </c>
      <c r="G71" s="1">
        <v>1.9886999999999998E-2</v>
      </c>
      <c r="H71" s="1">
        <v>9.8999999999999994E-5</v>
      </c>
      <c r="J71" s="4">
        <v>3440.0204304636068</v>
      </c>
      <c r="K71" s="4">
        <v>1726.0070537406466</v>
      </c>
      <c r="M71" s="1">
        <v>0</v>
      </c>
      <c r="N71" s="1">
        <v>-3.0807864603044743E-2</v>
      </c>
      <c r="V71" s="1">
        <v>1.5201357644668345E-2</v>
      </c>
      <c r="W71" s="1">
        <v>0.16203385223661804</v>
      </c>
      <c r="X71" s="1">
        <v>2.3835985024519557E-2</v>
      </c>
      <c r="Z71" s="1">
        <v>0.44888533273992115</v>
      </c>
      <c r="AA71" s="1">
        <v>7.5050436313355284E-2</v>
      </c>
      <c r="AB71" s="1">
        <v>1.5551937422576101E-2</v>
      </c>
      <c r="AD71" s="1">
        <v>0.38207521886950718</v>
      </c>
      <c r="AF71" s="4">
        <v>1.4046932797082337</v>
      </c>
      <c r="AH71" s="1">
        <v>0.35565516699754673</v>
      </c>
      <c r="AI71" s="1">
        <v>0.36336057631550989</v>
      </c>
      <c r="AP71" s="22">
        <v>44012</v>
      </c>
      <c r="AT71" s="1">
        <v>0.27042066637562134</v>
      </c>
    </row>
    <row r="72" spans="1:46" x14ac:dyDescent="0.25">
      <c r="A72" s="2">
        <v>69</v>
      </c>
      <c r="B72" s="1">
        <v>0.126748</v>
      </c>
      <c r="C72" s="1">
        <v>5.6384999999999998E-2</v>
      </c>
      <c r="D72" s="1">
        <v>1.1400000000000001E-4</v>
      </c>
      <c r="F72" s="1">
        <v>0.126748</v>
      </c>
      <c r="G72" s="1">
        <v>5.6384999999999998E-2</v>
      </c>
      <c r="H72" s="1">
        <v>1.1400000000000001E-4</v>
      </c>
      <c r="J72" s="4">
        <v>3876.0361399840085</v>
      </c>
      <c r="K72" s="4">
        <v>1823.3279614658129</v>
      </c>
      <c r="M72" s="1">
        <v>0</v>
      </c>
      <c r="N72" s="1">
        <v>0</v>
      </c>
      <c r="V72" s="1">
        <v>4.0896455968333356E-2</v>
      </c>
      <c r="W72" s="1">
        <v>0.17515707046104367</v>
      </c>
      <c r="X72" s="1">
        <v>2.3847721231389452E-2</v>
      </c>
      <c r="Z72" s="1">
        <v>0.62060585362889298</v>
      </c>
      <c r="AA72" s="1">
        <v>0.1195766002658627</v>
      </c>
      <c r="AB72" s="1">
        <v>1.364144110267751E-2</v>
      </c>
      <c r="AD72" s="1">
        <v>0.39060165484486298</v>
      </c>
      <c r="AF72" s="4">
        <v>1.4285293595578215</v>
      </c>
      <c r="AH72" s="1">
        <v>0.43309862170465485</v>
      </c>
      <c r="AI72" s="1">
        <v>0.44045351952384548</v>
      </c>
      <c r="AP72" s="22">
        <v>44043</v>
      </c>
      <c r="AT72" s="1">
        <v>0.27200216247393355</v>
      </c>
    </row>
    <row r="73" spans="1:46" x14ac:dyDescent="0.25">
      <c r="A73" s="2">
        <v>70</v>
      </c>
      <c r="B73" s="1">
        <v>0.15192900000000001</v>
      </c>
      <c r="C73" s="1">
        <v>7.1881E-2</v>
      </c>
      <c r="D73" s="1">
        <v>1.11E-4</v>
      </c>
      <c r="F73" s="1">
        <v>0.15192900000000001</v>
      </c>
      <c r="G73" s="1">
        <v>7.1881E-2</v>
      </c>
      <c r="H73" s="1">
        <v>1.11E-4</v>
      </c>
      <c r="J73" s="4">
        <v>4464.918434695639</v>
      </c>
      <c r="K73" s="4">
        <v>1954.3905986639372</v>
      </c>
      <c r="M73" s="1">
        <v>0</v>
      </c>
      <c r="N73" s="1">
        <v>0</v>
      </c>
      <c r="V73" s="1">
        <v>1.4099124383891048E-2</v>
      </c>
      <c r="W73" s="1">
        <v>0.15358409726378497</v>
      </c>
      <c r="X73" s="1">
        <v>2.3850188748026024E-2</v>
      </c>
      <c r="Z73" s="1">
        <v>1.0377203750600374</v>
      </c>
      <c r="AA73" s="1">
        <v>0.21936766975854849</v>
      </c>
      <c r="AB73" s="1">
        <v>1.1831475499191724E-2</v>
      </c>
      <c r="AD73" s="1">
        <v>0.37547180846442446</v>
      </c>
      <c r="AF73" s="4">
        <v>1.3836521566168958</v>
      </c>
      <c r="AH73" s="1">
        <v>0.61006430953468405</v>
      </c>
      <c r="AI73" s="1">
        <v>0.6161368923383983</v>
      </c>
      <c r="AP73" s="22">
        <v>44074</v>
      </c>
      <c r="AT73" s="1">
        <v>0.27526256390580972</v>
      </c>
    </row>
    <row r="74" spans="1:46" x14ac:dyDescent="0.25">
      <c r="A74" s="2">
        <v>71</v>
      </c>
      <c r="B74" s="1">
        <v>-3.3313000000000002E-2</v>
      </c>
      <c r="C74" s="1">
        <v>-3.7997000000000003E-2</v>
      </c>
      <c r="D74" s="1">
        <v>9.7E-5</v>
      </c>
      <c r="F74" s="1">
        <v>-3.3313000000000002E-2</v>
      </c>
      <c r="G74" s="1">
        <v>-3.7997000000000003E-2</v>
      </c>
      <c r="H74" s="1">
        <v>9.7E-5</v>
      </c>
      <c r="J74" s="4">
        <v>4316.1786068806232</v>
      </c>
      <c r="K74" s="4">
        <v>1880.1296190865035</v>
      </c>
      <c r="M74" s="1">
        <v>-3.3313000000000037E-2</v>
      </c>
      <c r="N74" s="1">
        <v>-3.7997000000000059E-2</v>
      </c>
      <c r="V74" s="1">
        <v>2.0112524002985577E-2</v>
      </c>
      <c r="W74" s="1">
        <v>0.15519705802418793</v>
      </c>
      <c r="X74" s="1">
        <v>2.3829097754719974E-2</v>
      </c>
      <c r="Z74" s="1">
        <v>1.0338071319261353</v>
      </c>
      <c r="AA74" s="1">
        <v>0.15149096053904731</v>
      </c>
      <c r="AB74" s="1">
        <v>1.0196126599071098E-2</v>
      </c>
      <c r="AD74" s="1">
        <v>0.37600476587247955</v>
      </c>
      <c r="AF74" s="4">
        <v>1.4141804912566693</v>
      </c>
      <c r="AH74" s="1">
        <v>0.72421885777334705</v>
      </c>
      <c r="AI74" s="1">
        <v>0.73093676981909939</v>
      </c>
      <c r="AP74" s="22">
        <v>44104</v>
      </c>
      <c r="AT74" s="1">
        <v>0.27432758034593074</v>
      </c>
    </row>
    <row r="75" spans="1:46" x14ac:dyDescent="0.25">
      <c r="A75" s="2">
        <v>72</v>
      </c>
      <c r="B75" s="1">
        <v>-1.0606000000000001E-2</v>
      </c>
      <c r="C75" s="1">
        <v>-2.6594E-2</v>
      </c>
      <c r="D75" s="1">
        <v>8.6000000000000003E-5</v>
      </c>
      <c r="F75" s="1">
        <v>-1.0606000000000001E-2</v>
      </c>
      <c r="G75" s="1">
        <v>-2.6594E-2</v>
      </c>
      <c r="H75" s="1">
        <v>8.6000000000000003E-5</v>
      </c>
      <c r="J75" s="4">
        <v>4270.4012165760469</v>
      </c>
      <c r="K75" s="4">
        <v>1830.129451996517</v>
      </c>
      <c r="M75" s="1">
        <v>-4.3565682322000088E-2</v>
      </c>
      <c r="N75" s="1">
        <v>-6.3580507782000084E-2</v>
      </c>
      <c r="V75" s="1">
        <v>-4.6151618791068216E-6</v>
      </c>
      <c r="W75" s="1">
        <v>0.13936091096032355</v>
      </c>
      <c r="X75" s="1">
        <v>2.3804505301409762E-2</v>
      </c>
      <c r="Z75" s="1">
        <v>0.96350435880377505</v>
      </c>
      <c r="AA75" s="1">
        <v>9.7104917423088022E-2</v>
      </c>
      <c r="AB75" s="1">
        <v>8.5754851695665213E-3</v>
      </c>
      <c r="AD75" s="1">
        <v>0.38188378826929681</v>
      </c>
      <c r="AF75" s="4">
        <v>1.4392785427428805</v>
      </c>
      <c r="AH75" s="1">
        <v>0.77398656913550212</v>
      </c>
      <c r="AI75" s="1">
        <v>0.78040765774631349</v>
      </c>
      <c r="AP75" s="22">
        <v>44135</v>
      </c>
      <c r="AT75" s="1">
        <v>0.27275223782539015</v>
      </c>
    </row>
    <row r="76" spans="1:46" x14ac:dyDescent="0.25">
      <c r="A76" s="2">
        <v>73</v>
      </c>
      <c r="B76" s="1">
        <v>0.23618600000000001</v>
      </c>
      <c r="C76" s="1">
        <v>0.10946400000000001</v>
      </c>
      <c r="D76" s="1">
        <v>8.2000000000000001E-5</v>
      </c>
      <c r="F76" s="1">
        <v>0.23618600000000001</v>
      </c>
      <c r="G76" s="1">
        <v>0.10946400000000001</v>
      </c>
      <c r="H76" s="1">
        <v>8.2000000000000001E-5</v>
      </c>
      <c r="J76" s="4">
        <v>5279.0101983142767</v>
      </c>
      <c r="K76" s="4">
        <v>2030.4627423298637</v>
      </c>
      <c r="M76" s="1">
        <v>0</v>
      </c>
      <c r="N76" s="1">
        <v>0</v>
      </c>
      <c r="V76" s="1">
        <v>-7.5188479406425035E-3</v>
      </c>
      <c r="W76" s="1">
        <v>0.13838807569928968</v>
      </c>
      <c r="X76" s="1">
        <v>2.3757739657720212E-2</v>
      </c>
      <c r="Z76" s="1">
        <v>1.133951383486179</v>
      </c>
      <c r="AA76" s="1">
        <v>0.17456294959648555</v>
      </c>
      <c r="AB76" s="1">
        <v>7.1585293092089053E-3</v>
      </c>
      <c r="AD76" s="1">
        <v>0.41420146074662312</v>
      </c>
      <c r="AF76" s="4">
        <v>1.4725038558374239</v>
      </c>
      <c r="AH76" s="1">
        <v>0.75217201277704948</v>
      </c>
      <c r="AI76" s="1">
        <v>0.75789584237329599</v>
      </c>
      <c r="AP76" s="22">
        <v>44165</v>
      </c>
      <c r="AT76" s="1">
        <v>0.28426059679047289</v>
      </c>
    </row>
    <row r="77" spans="1:46" x14ac:dyDescent="0.25">
      <c r="A77" s="2">
        <v>74</v>
      </c>
      <c r="B77" s="1">
        <v>0.125832</v>
      </c>
      <c r="C77" s="1">
        <v>3.8448000000000003E-2</v>
      </c>
      <c r="D77" s="1">
        <v>7.7000000000000001E-5</v>
      </c>
      <c r="F77" s="1">
        <v>0.125832</v>
      </c>
      <c r="G77" s="1">
        <v>3.8448000000000003E-2</v>
      </c>
      <c r="H77" s="1">
        <v>7.7000000000000001E-5</v>
      </c>
      <c r="J77" s="4">
        <v>5943.2786095885585</v>
      </c>
      <c r="K77" s="4">
        <v>2108.5299738469625</v>
      </c>
      <c r="M77" s="1">
        <v>0</v>
      </c>
      <c r="N77" s="1">
        <v>0</v>
      </c>
      <c r="V77" s="1">
        <v>9.7151132768624748E-3</v>
      </c>
      <c r="W77" s="1">
        <v>0.14232030754307723</v>
      </c>
      <c r="X77" s="1">
        <v>2.3712571457030762E-2</v>
      </c>
      <c r="Z77" s="1">
        <v>1.4159712010444485</v>
      </c>
      <c r="AA77" s="1">
        <v>0.1839874370573078</v>
      </c>
      <c r="AB77" s="1">
        <v>5.803815882149177E-3</v>
      </c>
      <c r="AD77" s="1">
        <v>0.40832393263760131</v>
      </c>
      <c r="AF77" s="4">
        <v>1.5013068288367364</v>
      </c>
      <c r="AH77" s="1">
        <v>0.95159439442343774</v>
      </c>
      <c r="AI77" s="1">
        <v>0.95766331764156298</v>
      </c>
      <c r="AP77" s="22">
        <v>44196</v>
      </c>
      <c r="AT77" s="1">
        <v>0.28513761286288419</v>
      </c>
    </row>
    <row r="78" spans="1:46" x14ac:dyDescent="0.25">
      <c r="A78" s="2">
        <v>75</v>
      </c>
      <c r="B78" s="1">
        <v>0.104229</v>
      </c>
      <c r="C78" s="1">
        <v>-1.0096000000000001E-2</v>
      </c>
      <c r="D78" s="1">
        <v>7.2999999999999999E-5</v>
      </c>
      <c r="F78" s="1">
        <v>0.104229</v>
      </c>
      <c r="G78" s="1">
        <v>-1.0096000000000001E-2</v>
      </c>
      <c r="H78" s="1">
        <v>7.2999999999999999E-5</v>
      </c>
      <c r="J78" s="4">
        <v>6562.7405957873634</v>
      </c>
      <c r="K78" s="4">
        <v>2087.2422552310036</v>
      </c>
      <c r="M78" s="1">
        <v>0</v>
      </c>
      <c r="N78" s="1">
        <v>-1.0095999999999994E-2</v>
      </c>
      <c r="V78" s="1">
        <v>8.6785611700108678E-3</v>
      </c>
      <c r="W78" s="1">
        <v>0.1469812843201308</v>
      </c>
      <c r="X78" s="1">
        <v>2.3658144651642177E-2</v>
      </c>
      <c r="Z78" s="1">
        <v>1.5987522096606832</v>
      </c>
      <c r="AA78" s="1">
        <v>0.17249351735157892</v>
      </c>
      <c r="AB78" s="1">
        <v>4.5241455366709094E-3</v>
      </c>
      <c r="AD78" s="1">
        <v>0.40409031534546835</v>
      </c>
      <c r="AF78" s="4">
        <v>1.4673578665381457</v>
      </c>
      <c r="AH78" s="1">
        <v>1.1418389890402532</v>
      </c>
      <c r="AI78" s="1">
        <v>1.1467244715915825</v>
      </c>
      <c r="AP78" s="22">
        <v>44227</v>
      </c>
      <c r="AT78" s="1">
        <v>0.2848561537572139</v>
      </c>
    </row>
    <row r="79" spans="1:46" x14ac:dyDescent="0.25">
      <c r="A79" s="2">
        <v>76</v>
      </c>
      <c r="B79" s="1">
        <v>-5.0382000000000003E-2</v>
      </c>
      <c r="C79" s="1">
        <v>2.7574999999999999E-2</v>
      </c>
      <c r="D79" s="1">
        <v>5.7000000000000003E-5</v>
      </c>
      <c r="F79" s="1">
        <v>-5.0382000000000003E-2</v>
      </c>
      <c r="G79" s="1">
        <v>2.7574999999999999E-2</v>
      </c>
      <c r="H79" s="1">
        <v>5.7000000000000003E-5</v>
      </c>
      <c r="J79" s="4">
        <v>6232.0965990904042</v>
      </c>
      <c r="K79" s="4">
        <v>2144.7979604189982</v>
      </c>
      <c r="M79" s="1">
        <v>-5.0382000000000038E-2</v>
      </c>
      <c r="N79" s="1">
        <v>0</v>
      </c>
      <c r="V79" s="1">
        <v>1.276936689353958E-2</v>
      </c>
      <c r="W79" s="1">
        <v>0.14602335307621139</v>
      </c>
      <c r="X79" s="1">
        <v>2.3587563849820414E-2</v>
      </c>
      <c r="Z79" s="1">
        <v>1.4290135267171982</v>
      </c>
      <c r="AA79" s="1">
        <v>0.31290178841291105</v>
      </c>
      <c r="AB79" s="1">
        <v>3.3142175561928777E-3</v>
      </c>
      <c r="AD79" s="1">
        <v>0.4222024373008974</v>
      </c>
      <c r="AF79" s="4">
        <v>1.6081551997045362</v>
      </c>
      <c r="AH79" s="1">
        <v>0.65785993886123229</v>
      </c>
      <c r="AI79" s="1">
        <v>0.66153120861944892</v>
      </c>
      <c r="AP79" s="22">
        <v>44255</v>
      </c>
      <c r="AT79" s="1">
        <v>0.28468912158936865</v>
      </c>
    </row>
    <row r="80" spans="1:46" x14ac:dyDescent="0.25">
      <c r="A80" s="2">
        <v>77</v>
      </c>
      <c r="B80" s="1">
        <v>-8.3123000000000002E-2</v>
      </c>
      <c r="C80" s="1">
        <v>4.3796000000000002E-2</v>
      </c>
      <c r="D80" s="1">
        <v>5.1E-5</v>
      </c>
      <c r="F80" s="1">
        <v>-8.3123000000000002E-2</v>
      </c>
      <c r="G80" s="1">
        <v>4.3796000000000002E-2</v>
      </c>
      <c r="H80" s="1">
        <v>5.1E-5</v>
      </c>
      <c r="J80" s="4">
        <v>5714.0660334842123</v>
      </c>
      <c r="K80" s="4">
        <v>2238.7315318935084</v>
      </c>
      <c r="M80" s="1">
        <v>-0.12931709701400007</v>
      </c>
      <c r="N80" s="1">
        <v>0</v>
      </c>
      <c r="V80" s="1">
        <v>2.865132742011367E-2</v>
      </c>
      <c r="W80" s="1">
        <v>0.14824702511544663</v>
      </c>
      <c r="X80" s="1">
        <v>2.3515635598216234E-2</v>
      </c>
      <c r="Z80" s="1">
        <v>1.6606582338900306</v>
      </c>
      <c r="AA80" s="1">
        <v>0.56351621317628542</v>
      </c>
      <c r="AB80" s="1">
        <v>2.099734616467952E-3</v>
      </c>
      <c r="AD80" s="1">
        <v>0.37645912082733624</v>
      </c>
      <c r="AF80" s="4">
        <v>1.530884639375514</v>
      </c>
      <c r="AH80" s="1">
        <v>0.43033675753277012</v>
      </c>
      <c r="AI80" s="1">
        <v>0.4318027987317079</v>
      </c>
      <c r="AP80" s="22">
        <v>44286</v>
      </c>
      <c r="AT80" s="1">
        <v>0.28616982181865086</v>
      </c>
    </row>
    <row r="81" spans="1:46" x14ac:dyDescent="0.25">
      <c r="A81" s="2">
        <v>78</v>
      </c>
      <c r="B81" s="1">
        <v>9.3769999999999999E-3</v>
      </c>
      <c r="C81" s="1">
        <v>5.3369E-2</v>
      </c>
      <c r="D81" s="1">
        <v>3.4E-5</v>
      </c>
      <c r="F81" s="1">
        <v>9.3769999999999999E-3</v>
      </c>
      <c r="G81" s="1">
        <v>5.3369E-2</v>
      </c>
      <c r="H81" s="1">
        <v>3.4E-5</v>
      </c>
      <c r="J81" s="4">
        <v>5767.6468306801935</v>
      </c>
      <c r="K81" s="4">
        <v>2358.2103950191331</v>
      </c>
      <c r="M81" s="1">
        <v>-0.12115270343270035</v>
      </c>
      <c r="N81" s="1">
        <v>0</v>
      </c>
      <c r="V81" s="1">
        <v>2.8128193541284929E-2</v>
      </c>
      <c r="W81" s="1">
        <v>0.14688935553940397</v>
      </c>
      <c r="X81" s="1">
        <v>2.3422915690438417E-2</v>
      </c>
      <c r="Z81" s="1">
        <v>1.1661756376466519</v>
      </c>
      <c r="AA81" s="1">
        <v>0.45981941931732573</v>
      </c>
      <c r="AB81" s="1">
        <v>1.3127295691979235E-3</v>
      </c>
      <c r="AD81" s="1">
        <v>0.34573821605107791</v>
      </c>
      <c r="AF81" s="4">
        <v>1.3563160379148984</v>
      </c>
      <c r="AH81" s="1">
        <v>0.36625932543284145</v>
      </c>
      <c r="AI81" s="1">
        <v>0.36770603515920497</v>
      </c>
      <c r="AP81" s="22">
        <v>44316</v>
      </c>
      <c r="AT81" s="1">
        <v>0.28438200906039535</v>
      </c>
    </row>
    <row r="82" spans="1:46" x14ac:dyDescent="0.25">
      <c r="A82" s="2">
        <v>79</v>
      </c>
      <c r="B82" s="1">
        <v>-7.2100999999999998E-2</v>
      </c>
      <c r="C82" s="1">
        <v>6.9839999999999998E-3</v>
      </c>
      <c r="D82" s="1">
        <v>2.3E-5</v>
      </c>
      <c r="F82" s="1">
        <v>-7.2100999999999998E-2</v>
      </c>
      <c r="G82" s="1">
        <v>6.9839999999999998E-3</v>
      </c>
      <c r="H82" s="1">
        <v>2.3E-5</v>
      </c>
      <c r="J82" s="4">
        <v>5351.7937265413211</v>
      </c>
      <c r="K82" s="4">
        <v>2374.6801364179469</v>
      </c>
      <c r="M82" s="1">
        <v>-0.18451847236249919</v>
      </c>
      <c r="N82" s="1">
        <v>0</v>
      </c>
      <c r="V82" s="1">
        <v>2.0868999373791164E-2</v>
      </c>
      <c r="W82" s="1">
        <v>0.14043345877754887</v>
      </c>
      <c r="X82" s="1">
        <v>2.3325720803615502E-2</v>
      </c>
      <c r="Z82" s="1">
        <v>0.75921905075033203</v>
      </c>
      <c r="AA82" s="1">
        <v>0.40318395283615738</v>
      </c>
      <c r="AB82" s="1">
        <v>9.0436997851761625E-4</v>
      </c>
      <c r="AD82" s="1">
        <v>0.36336163976189689</v>
      </c>
      <c r="AF82" s="4">
        <v>1.4318011187303017</v>
      </c>
      <c r="AH82" s="1">
        <v>0.13802478246702266</v>
      </c>
      <c r="AI82" s="1">
        <v>0.13884811585877244</v>
      </c>
      <c r="AP82" s="22">
        <v>44347</v>
      </c>
      <c r="AT82" s="1">
        <v>0.28512713444663385</v>
      </c>
    </row>
    <row r="83" spans="1:46" x14ac:dyDescent="0.25">
      <c r="A83" s="2">
        <v>80</v>
      </c>
      <c r="B83" s="1">
        <v>0.169185</v>
      </c>
      <c r="C83" s="1">
        <v>2.3345000000000001E-2</v>
      </c>
      <c r="D83" s="1">
        <v>1.5E-5</v>
      </c>
      <c r="F83" s="1">
        <v>0.169185</v>
      </c>
      <c r="G83" s="1">
        <v>2.3345000000000001E-2</v>
      </c>
      <c r="H83" s="1">
        <v>1.5E-5</v>
      </c>
      <c r="J83" s="4">
        <v>6257.2369481662145</v>
      </c>
      <c r="K83" s="4">
        <v>2430.1170442026237</v>
      </c>
      <c r="M83" s="1">
        <v>-4.6551230109148634E-2</v>
      </c>
      <c r="N83" s="1">
        <v>0</v>
      </c>
      <c r="V83" s="1">
        <v>2.0621541491135265E-2</v>
      </c>
      <c r="W83" s="1">
        <v>0.13216621759629654</v>
      </c>
      <c r="X83" s="1">
        <v>2.3195859088698034E-2</v>
      </c>
      <c r="Z83" s="1">
        <v>0.81895342619315104</v>
      </c>
      <c r="AA83" s="1">
        <v>0.40794154863736654</v>
      </c>
      <c r="AB83" s="1">
        <v>8.2030233413599163E-4</v>
      </c>
      <c r="AD83" s="1">
        <v>0.37419994095366621</v>
      </c>
      <c r="AF83" s="4">
        <v>1.4370783083393084</v>
      </c>
      <c r="AH83" s="1">
        <v>0.17407253347845764</v>
      </c>
      <c r="AI83" s="1">
        <v>0.1746825665193914</v>
      </c>
      <c r="AP83" s="22">
        <v>44377</v>
      </c>
      <c r="AT83" s="1">
        <v>0.2887874704568979</v>
      </c>
    </row>
    <row r="84" spans="1:46" x14ac:dyDescent="0.25">
      <c r="A84" s="2">
        <v>81</v>
      </c>
      <c r="B84" s="1">
        <v>-8.3597000000000005E-2</v>
      </c>
      <c r="C84" s="1">
        <v>2.3754999999999998E-2</v>
      </c>
      <c r="D84" s="1">
        <v>2.1999999999999999E-5</v>
      </c>
      <c r="F84" s="1">
        <v>-8.3597000000000005E-2</v>
      </c>
      <c r="G84" s="1">
        <v>2.3754999999999998E-2</v>
      </c>
      <c r="H84" s="1">
        <v>2.1999999999999999E-5</v>
      </c>
      <c r="J84" s="4">
        <v>5734.150711010363</v>
      </c>
      <c r="K84" s="4">
        <v>2487.8444745876568</v>
      </c>
      <c r="M84" s="1">
        <v>-0.12625668692571423</v>
      </c>
      <c r="N84" s="1">
        <v>0</v>
      </c>
      <c r="V84" s="1">
        <v>3.6312198641837989E-2</v>
      </c>
      <c r="W84" s="1">
        <v>0.13979502758376317</v>
      </c>
      <c r="X84" s="1">
        <v>2.3072853342739341E-2</v>
      </c>
      <c r="Z84" s="1">
        <v>0.47938525439910373</v>
      </c>
      <c r="AA84" s="1">
        <v>0.36445254346213418</v>
      </c>
      <c r="AB84" s="1">
        <v>7.2823736172811238E-4</v>
      </c>
      <c r="AD84" s="1">
        <v>0.38971388372310456</v>
      </c>
      <c r="AF84" s="4">
        <v>1.4092881394824868</v>
      </c>
      <c r="AH84" s="1">
        <v>7.1284777523330511E-3</v>
      </c>
      <c r="AI84" s="1">
        <v>7.6555615705029556E-3</v>
      </c>
      <c r="AP84" s="22">
        <v>44408</v>
      </c>
      <c r="AT84" s="1">
        <v>0.29009111859979703</v>
      </c>
    </row>
    <row r="85" spans="1:46" x14ac:dyDescent="0.25">
      <c r="A85" s="2">
        <v>82</v>
      </c>
      <c r="B85" s="1">
        <v>1.9497E-2</v>
      </c>
      <c r="C85" s="1">
        <v>3.0405999999999999E-2</v>
      </c>
      <c r="D85" s="1">
        <v>3.1000000000000001E-5</v>
      </c>
      <c r="F85" s="1">
        <v>1.9497E-2</v>
      </c>
      <c r="G85" s="1">
        <v>3.0405999999999999E-2</v>
      </c>
      <c r="H85" s="1">
        <v>3.1000000000000001E-5</v>
      </c>
      <c r="J85" s="4">
        <v>5845.9494474229323</v>
      </c>
      <c r="K85" s="4">
        <v>2563.4898736819691</v>
      </c>
      <c r="M85" s="1">
        <v>-0.10922131355070486</v>
      </c>
      <c r="N85" s="1">
        <v>0</v>
      </c>
      <c r="V85" s="1">
        <v>3.8829434916291428E-2</v>
      </c>
      <c r="W85" s="1">
        <v>0.13982064843971953</v>
      </c>
      <c r="X85" s="1">
        <v>2.293805730582954E-2</v>
      </c>
      <c r="Z85" s="1">
        <v>0.30930710894866231</v>
      </c>
      <c r="AA85" s="1">
        <v>0.31165687935381237</v>
      </c>
      <c r="AB85" s="1">
        <v>6.4818798821919543E-4</v>
      </c>
      <c r="AD85" s="1">
        <v>0.36970203236070581</v>
      </c>
      <c r="AF85" s="4">
        <v>1.2543596471384599</v>
      </c>
      <c r="AH85" s="1">
        <v>-2.2872806530745415E-2</v>
      </c>
      <c r="AI85" s="1">
        <v>-2.2526812627190362E-2</v>
      </c>
      <c r="AP85" s="22">
        <v>44439</v>
      </c>
      <c r="AT85" s="1">
        <v>0.28830307540945699</v>
      </c>
    </row>
    <row r="86" spans="1:46" x14ac:dyDescent="0.25">
      <c r="A86" s="2">
        <v>83</v>
      </c>
      <c r="B86" s="1">
        <v>-9.3461000000000002E-2</v>
      </c>
      <c r="C86" s="1">
        <v>-4.6510000000000003E-2</v>
      </c>
      <c r="D86" s="1">
        <v>3.8000000000000002E-5</v>
      </c>
      <c r="F86" s="1">
        <v>-9.3461000000000002E-2</v>
      </c>
      <c r="G86" s="1">
        <v>-4.6510000000000003E-2</v>
      </c>
      <c r="H86" s="1">
        <v>3.8000000000000002E-5</v>
      </c>
      <c r="J86" s="4">
        <v>5299.5811661173375</v>
      </c>
      <c r="K86" s="4">
        <v>2444.2619596570207</v>
      </c>
      <c r="M86" s="1">
        <v>-0.19247438036494247</v>
      </c>
      <c r="N86" s="1">
        <v>-4.6510000000000051E-2</v>
      </c>
      <c r="V86" s="1">
        <v>4.6549957135318953E-2</v>
      </c>
      <c r="W86" s="1">
        <v>0.14300612472194296</v>
      </c>
      <c r="X86" s="1">
        <v>2.2790571154503558E-2</v>
      </c>
      <c r="Z86" s="1">
        <v>0.22784102531554828</v>
      </c>
      <c r="AA86" s="1">
        <v>0.30004970659661878</v>
      </c>
      <c r="AB86" s="1">
        <v>5.8915547128268742E-4</v>
      </c>
      <c r="AD86" s="1">
        <v>0.38508561966871258</v>
      </c>
      <c r="AF86" s="4">
        <v>1.4393995437238249</v>
      </c>
      <c r="AH86" s="1">
        <v>-0.1165438028150092</v>
      </c>
      <c r="AI86" s="1">
        <v>-0.11618485136143775</v>
      </c>
      <c r="AP86" s="22">
        <v>44469</v>
      </c>
      <c r="AT86" s="1">
        <v>0.29006510583965089</v>
      </c>
    </row>
    <row r="87" spans="1:46" x14ac:dyDescent="0.25">
      <c r="A87" s="2">
        <v>84</v>
      </c>
      <c r="B87" s="1">
        <v>9.6230999999999997E-2</v>
      </c>
      <c r="C87" s="1">
        <v>7.0061999999999999E-2</v>
      </c>
      <c r="D87" s="1">
        <v>3.6000000000000001E-5</v>
      </c>
      <c r="F87" s="1">
        <v>9.6230999999999997E-2</v>
      </c>
      <c r="G87" s="1">
        <v>7.0061999999999999E-2</v>
      </c>
      <c r="H87" s="1">
        <v>3.6000000000000001E-5</v>
      </c>
      <c r="J87" s="4">
        <v>5809.5651613139744</v>
      </c>
      <c r="K87" s="4">
        <v>2615.5118410745113</v>
      </c>
      <c r="M87" s="1">
        <v>-0.11476538246184131</v>
      </c>
      <c r="N87" s="1">
        <v>0</v>
      </c>
      <c r="V87" s="1">
        <v>5.2001542865526273E-2</v>
      </c>
      <c r="W87" s="1">
        <v>0.14495553671311057</v>
      </c>
      <c r="X87" s="1">
        <v>2.2648076703265962E-2</v>
      </c>
      <c r="Z87" s="1">
        <v>0.36042607396314175</v>
      </c>
      <c r="AA87" s="1">
        <v>0.42914034754274244</v>
      </c>
      <c r="AB87" s="1">
        <v>5.3913031567254244E-4</v>
      </c>
      <c r="AD87" s="1">
        <v>0.38983070986577562</v>
      </c>
      <c r="AF87" s="4">
        <v>1.5824289962905764</v>
      </c>
      <c r="AH87" s="1">
        <v>-0.18974470122640397</v>
      </c>
      <c r="AI87" s="1">
        <v>-0.18937358017310513</v>
      </c>
      <c r="AP87" s="22">
        <v>44500</v>
      </c>
      <c r="AT87" s="1">
        <v>0.28961338731378877</v>
      </c>
    </row>
    <row r="88" spans="1:46" x14ac:dyDescent="0.25">
      <c r="A88" s="2">
        <v>85</v>
      </c>
      <c r="B88" s="1">
        <v>-0.127833</v>
      </c>
      <c r="C88" s="1">
        <v>-6.9290000000000003E-3</v>
      </c>
      <c r="D88" s="1">
        <v>3.8000000000000002E-5</v>
      </c>
      <c r="F88" s="1">
        <v>-0.127833</v>
      </c>
      <c r="G88" s="1">
        <v>-6.9290000000000003E-3</v>
      </c>
      <c r="H88" s="1">
        <v>3.8000000000000002E-5</v>
      </c>
      <c r="J88" s="4">
        <v>5066.9110180477255</v>
      </c>
      <c r="K88" s="4">
        <v>2597.388959527706</v>
      </c>
      <c r="M88" s="1">
        <v>-0.22792757932559671</v>
      </c>
      <c r="N88" s="1">
        <v>-6.928999999999963E-3</v>
      </c>
      <c r="V88" s="1">
        <v>5.333033883966376E-2</v>
      </c>
      <c r="W88" s="1">
        <v>0.14643350516098508</v>
      </c>
      <c r="X88" s="1">
        <v>2.2503040932891683E-2</v>
      </c>
      <c r="Z88" s="1">
        <v>-4.0177831127183317E-2</v>
      </c>
      <c r="AA88" s="1">
        <v>0.27921035209310019</v>
      </c>
      <c r="AB88" s="1">
        <v>4.9511020358750102E-4</v>
      </c>
      <c r="AD88" s="1">
        <v>0.34914613614411322</v>
      </c>
      <c r="AF88" s="4">
        <v>1.1891535383383725</v>
      </c>
      <c r="AH88" s="1">
        <v>-0.25319993890398573</v>
      </c>
      <c r="AI88" s="1">
        <v>-0.25304163002612667</v>
      </c>
      <c r="AP88" s="22">
        <v>44530</v>
      </c>
      <c r="AT88" s="1">
        <v>0.29352258987019653</v>
      </c>
    </row>
    <row r="89" spans="1:46" x14ac:dyDescent="0.25">
      <c r="A89" s="2">
        <v>86</v>
      </c>
      <c r="B89" s="1">
        <v>-9.8793000000000006E-2</v>
      </c>
      <c r="C89" s="1">
        <v>4.4816000000000002E-2</v>
      </c>
      <c r="D89" s="1">
        <v>4.1999999999999998E-5</v>
      </c>
      <c r="F89" s="1">
        <v>-9.8793000000000006E-2</v>
      </c>
      <c r="G89" s="1">
        <v>4.4816000000000002E-2</v>
      </c>
      <c r="H89" s="1">
        <v>4.1999999999999998E-5</v>
      </c>
      <c r="J89" s="4">
        <v>4566.3356778417365</v>
      </c>
      <c r="K89" s="4">
        <v>2713.7935431378996</v>
      </c>
      <c r="M89" s="1">
        <v>-0.30420292998128307</v>
      </c>
      <c r="N89" s="1">
        <v>0</v>
      </c>
      <c r="V89" s="1">
        <v>6.8591964534062688E-2</v>
      </c>
      <c r="W89" s="1">
        <v>0.14510148495106256</v>
      </c>
      <c r="X89" s="1">
        <v>2.2364533624065652E-2</v>
      </c>
      <c r="Z89" s="1">
        <v>-0.23168069717030226</v>
      </c>
      <c r="AA89" s="1">
        <v>0.28705476175263889</v>
      </c>
      <c r="AB89" s="1">
        <v>4.60095570856911E-4</v>
      </c>
      <c r="AD89" s="1">
        <v>0.33355075429562714</v>
      </c>
      <c r="AF89" s="4">
        <v>0.76873040802285986</v>
      </c>
      <c r="AH89" s="1">
        <v>-0.34182709232444486</v>
      </c>
      <c r="AI89" s="1">
        <v>-0.3419019339444439</v>
      </c>
      <c r="AP89" s="22">
        <v>44561</v>
      </c>
      <c r="AT89" s="1">
        <v>0.29530223090878543</v>
      </c>
    </row>
    <row r="90" spans="1:46" x14ac:dyDescent="0.25">
      <c r="A90" s="2">
        <v>87</v>
      </c>
      <c r="B90" s="1">
        <v>-0.203372</v>
      </c>
      <c r="C90" s="1">
        <v>-5.1747000000000001E-2</v>
      </c>
      <c r="D90" s="1">
        <v>4.6999999999999997E-5</v>
      </c>
      <c r="F90" s="1">
        <v>-0.203372</v>
      </c>
      <c r="G90" s="1">
        <v>-5.1747000000000001E-2</v>
      </c>
      <c r="H90" s="1">
        <v>4.6999999999999997E-5</v>
      </c>
      <c r="J90" s="4">
        <v>3637.6708583677068</v>
      </c>
      <c r="K90" s="4">
        <v>2573.3628686611428</v>
      </c>
      <c r="M90" s="1">
        <v>-0.44570857170512956</v>
      </c>
      <c r="N90" s="1">
        <v>-5.1746999999999987E-2</v>
      </c>
      <c r="V90" s="1">
        <v>7.2933851088393231E-2</v>
      </c>
      <c r="W90" s="1">
        <v>0.14653388809448487</v>
      </c>
      <c r="X90" s="1">
        <v>2.221809919705775E-2</v>
      </c>
      <c r="Z90" s="1">
        <v>-0.44570857170512934</v>
      </c>
      <c r="AA90" s="1">
        <v>0.23290090654874107</v>
      </c>
      <c r="AB90" s="1">
        <v>4.3408550710677396E-4</v>
      </c>
      <c r="AD90" s="1">
        <v>0.35232860152471812</v>
      </c>
      <c r="AF90" s="4">
        <v>1.6244726451891351</v>
      </c>
      <c r="AH90" s="1">
        <v>-0.59645546884621758</v>
      </c>
      <c r="AI90" s="1">
        <v>-0.59637571022105462</v>
      </c>
      <c r="AP90" s="22">
        <v>44592</v>
      </c>
      <c r="AT90" s="1">
        <v>0.30521211799658532</v>
      </c>
    </row>
    <row r="91" spans="1:46" x14ac:dyDescent="0.25">
      <c r="A91" s="2">
        <v>88</v>
      </c>
      <c r="B91" s="1">
        <v>-6.3365000000000005E-2</v>
      </c>
      <c r="C91" s="1">
        <v>-2.9940999999999999E-2</v>
      </c>
      <c r="D91" s="1">
        <v>7.4999999999999993E-5</v>
      </c>
      <c r="F91" s="1">
        <v>-6.3365000000000005E-2</v>
      </c>
      <c r="G91" s="1">
        <v>-2.9940999999999999E-2</v>
      </c>
      <c r="H91" s="1">
        <v>7.4999999999999993E-5</v>
      </c>
      <c r="J91" s="4">
        <v>3407.169844427237</v>
      </c>
      <c r="K91" s="4">
        <v>2496.3138110105597</v>
      </c>
      <c r="M91" s="1">
        <v>-0.48083124805903399</v>
      </c>
      <c r="N91" s="1">
        <v>-8.0138643072999893E-2</v>
      </c>
      <c r="V91" s="1">
        <v>7.6197398456597121E-2</v>
      </c>
      <c r="W91" s="1">
        <v>0.1457254474912637</v>
      </c>
      <c r="X91" s="1">
        <v>2.2061504133506604E-2</v>
      </c>
      <c r="Z91" s="1">
        <v>-0.45328674062521357</v>
      </c>
      <c r="AA91" s="1">
        <v>0.16389229059267207</v>
      </c>
      <c r="AB91" s="1">
        <v>4.5209229425946518E-4</v>
      </c>
      <c r="AD91" s="1">
        <v>0.35285621588132876</v>
      </c>
      <c r="AF91" s="4">
        <v>1.4975621764011671</v>
      </c>
      <c r="AH91" s="1">
        <v>-0.55026469306744374</v>
      </c>
      <c r="AI91" s="1">
        <v>-0.55016973817838966</v>
      </c>
      <c r="AP91" s="22">
        <v>44620</v>
      </c>
      <c r="AT91" s="1">
        <v>0.30496456178121084</v>
      </c>
    </row>
    <row r="92" spans="1:46" x14ac:dyDescent="0.25">
      <c r="A92" s="2">
        <v>89</v>
      </c>
      <c r="B92" s="1">
        <v>-5.9426E-2</v>
      </c>
      <c r="C92" s="1">
        <v>3.7130000000000003E-2</v>
      </c>
      <c r="D92" s="1">
        <v>1.5899999999999999E-4</v>
      </c>
      <c r="F92" s="1">
        <v>-5.9426E-2</v>
      </c>
      <c r="G92" s="1">
        <v>3.7130000000000003E-2</v>
      </c>
      <c r="H92" s="1">
        <v>1.5899999999999999E-4</v>
      </c>
      <c r="J92" s="4">
        <v>3204.6953692523039</v>
      </c>
      <c r="K92" s="4">
        <v>2589.0019428133819</v>
      </c>
      <c r="M92" s="1">
        <v>-0.51168337031187794</v>
      </c>
      <c r="N92" s="1">
        <v>-4.5984190890300369E-2</v>
      </c>
      <c r="V92" s="1">
        <v>8.6991435118657368E-2</v>
      </c>
      <c r="W92" s="1">
        <v>0.14613309858048384</v>
      </c>
      <c r="X92" s="1">
        <v>2.1894406458893512E-2</v>
      </c>
      <c r="Z92" s="1">
        <v>-0.43915674924424919</v>
      </c>
      <c r="AA92" s="1">
        <v>0.1564593190071415</v>
      </c>
      <c r="AB92" s="1">
        <v>5.6013561001777568E-4</v>
      </c>
      <c r="AD92" s="1">
        <v>0.35080016160097865</v>
      </c>
      <c r="AF92" s="4">
        <v>1.578546912537349</v>
      </c>
      <c r="AH92" s="1">
        <v>-0.53999270674561217</v>
      </c>
      <c r="AI92" s="1">
        <v>-0.53987618152871208</v>
      </c>
      <c r="AP92" s="22">
        <v>44651</v>
      </c>
      <c r="AT92" s="1">
        <v>0.3045507880167227</v>
      </c>
    </row>
    <row r="93" spans="1:46" x14ac:dyDescent="0.25">
      <c r="A93" s="2">
        <v>90</v>
      </c>
      <c r="B93" s="1">
        <v>-0.287325</v>
      </c>
      <c r="C93" s="1">
        <v>-8.7202000000000002E-2</v>
      </c>
      <c r="D93" s="1">
        <v>2.8299999999999999E-4</v>
      </c>
      <c r="F93" s="1">
        <v>-0.287325</v>
      </c>
      <c r="G93" s="1">
        <v>-8.7202000000000002E-2</v>
      </c>
      <c r="H93" s="1">
        <v>2.8299999999999999E-4</v>
      </c>
      <c r="J93" s="4">
        <v>2283.9062722818853</v>
      </c>
      <c r="K93" s="4">
        <v>2363.2357953961696</v>
      </c>
      <c r="M93" s="1">
        <v>-0.65198894593701762</v>
      </c>
      <c r="N93" s="1">
        <v>-0.12917627747628435</v>
      </c>
      <c r="V93" s="1">
        <v>9.3008200826450338E-2</v>
      </c>
      <c r="W93" s="1">
        <v>0.14595759712984835</v>
      </c>
      <c r="X93" s="1">
        <v>2.1717705381258279E-2</v>
      </c>
      <c r="Z93" s="1">
        <v>-0.60401419515963339</v>
      </c>
      <c r="AA93" s="1">
        <v>2.1310229094275712E-3</v>
      </c>
      <c r="AB93" s="1">
        <v>8.092666133305837E-4</v>
      </c>
      <c r="AD93" s="1">
        <v>0.42146957751614339</v>
      </c>
      <c r="AF93" s="4">
        <v>1.9291608705532042</v>
      </c>
      <c r="AH93" s="1">
        <v>-0.57764992803328363</v>
      </c>
      <c r="AI93" s="1">
        <v>-0.57730942266445173</v>
      </c>
      <c r="AP93" s="22">
        <v>44681</v>
      </c>
      <c r="AT93" s="1">
        <v>0.322574198999865</v>
      </c>
    </row>
    <row r="94" spans="1:46" x14ac:dyDescent="0.25">
      <c r="A94" s="2">
        <v>91</v>
      </c>
      <c r="B94" s="1">
        <v>-6.6289000000000001E-2</v>
      </c>
      <c r="C94" s="1">
        <v>1.835E-3</v>
      </c>
      <c r="D94" s="1">
        <v>4.8299999999999998E-4</v>
      </c>
      <c r="F94" s="1">
        <v>-6.6289000000000001E-2</v>
      </c>
      <c r="G94" s="1">
        <v>1.835E-3</v>
      </c>
      <c r="H94" s="1">
        <v>4.8299999999999998E-4</v>
      </c>
      <c r="J94" s="4">
        <v>2132.5084093985915</v>
      </c>
      <c r="K94" s="4">
        <v>2367.5723330807218</v>
      </c>
      <c r="M94" s="1">
        <v>-0.67505825069979863</v>
      </c>
      <c r="N94" s="1">
        <v>-0.12757831594545321</v>
      </c>
      <c r="V94" s="1">
        <v>9.5820508557750372E-2</v>
      </c>
      <c r="W94" s="1">
        <v>0.14441905864097704</v>
      </c>
      <c r="X94" s="1">
        <v>2.153683873858947E-2</v>
      </c>
      <c r="Z94" s="1">
        <v>-0.60153389342665164</v>
      </c>
      <c r="AA94" s="1">
        <v>-2.9931624172119253E-3</v>
      </c>
      <c r="AB94" s="1">
        <v>1.2696282876543119E-3</v>
      </c>
      <c r="AD94" s="1">
        <v>0.42143336382830004</v>
      </c>
      <c r="AF94" s="4">
        <v>1.9334117539028015</v>
      </c>
      <c r="AH94" s="1">
        <v>-0.5704667067987671</v>
      </c>
      <c r="AI94" s="1">
        <v>-0.56992121041401078</v>
      </c>
      <c r="AP94" s="22">
        <v>44712</v>
      </c>
      <c r="AT94" s="1">
        <v>0.32208552932220713</v>
      </c>
    </row>
    <row r="95" spans="1:46" x14ac:dyDescent="0.25">
      <c r="A95" s="2">
        <v>92</v>
      </c>
      <c r="B95" s="1">
        <v>-9.5007999999999995E-2</v>
      </c>
      <c r="C95" s="1">
        <v>-8.2544000000000006E-2</v>
      </c>
      <c r="D95" s="1">
        <v>6.7500000000000004E-4</v>
      </c>
      <c r="F95" s="1">
        <v>-9.5007999999999995E-2</v>
      </c>
      <c r="G95" s="1">
        <v>-8.2544000000000006E-2</v>
      </c>
      <c r="H95" s="1">
        <v>6.7500000000000004E-4</v>
      </c>
      <c r="J95" s="4">
        <v>1929.9030504384502</v>
      </c>
      <c r="K95" s="4">
        <v>2172.1434424189069</v>
      </c>
      <c r="M95" s="1">
        <v>-0.70593031641731219</v>
      </c>
      <c r="N95" s="1">
        <v>-0.19959149143405164</v>
      </c>
      <c r="V95" s="1">
        <v>0.1000072668886276</v>
      </c>
      <c r="W95" s="1">
        <v>0.14856085671270258</v>
      </c>
      <c r="X95" s="1">
        <v>2.135234458371027E-2</v>
      </c>
      <c r="Z95" s="1">
        <v>-0.69157264357648462</v>
      </c>
      <c r="AA95" s="1">
        <v>-0.10615686285528902</v>
      </c>
      <c r="AB95" s="1">
        <v>1.9304563299029631E-3</v>
      </c>
      <c r="AD95" s="1">
        <v>0.33395193270276041</v>
      </c>
      <c r="AF95" s="4">
        <v>1.3888116398339001</v>
      </c>
      <c r="AH95" s="1">
        <v>-0.61942525004836058</v>
      </c>
      <c r="AI95" s="1">
        <v>-0.61920494123784975</v>
      </c>
      <c r="AP95" s="22">
        <v>44742</v>
      </c>
      <c r="AT95" s="1">
        <v>0.32266430798049212</v>
      </c>
    </row>
    <row r="96" spans="1:46" x14ac:dyDescent="0.25">
      <c r="A96" s="2">
        <v>93</v>
      </c>
      <c r="B96" s="1">
        <v>0.12728400000000001</v>
      </c>
      <c r="C96" s="1">
        <v>9.2203999999999994E-2</v>
      </c>
      <c r="D96" s="1">
        <v>1.0369999999999999E-3</v>
      </c>
      <c r="F96" s="1">
        <v>0.12728400000000001</v>
      </c>
      <c r="G96" s="1">
        <v>9.2203999999999994E-2</v>
      </c>
      <c r="H96" s="1">
        <v>1.0369999999999999E-3</v>
      </c>
      <c r="J96" s="4">
        <v>2175.548830310458</v>
      </c>
      <c r="K96" s="4">
        <v>2372.4237563836996</v>
      </c>
      <c r="M96" s="1">
        <v>-0.66849995081217328</v>
      </c>
      <c r="N96" s="1">
        <v>-0.12579062531023699</v>
      </c>
      <c r="V96" s="1">
        <v>0.11462678305336649</v>
      </c>
      <c r="W96" s="1">
        <v>0.14963521290875392</v>
      </c>
      <c r="X96" s="1">
        <v>2.1169216023296356E-2</v>
      </c>
      <c r="Z96" s="1">
        <v>-0.62059789845894642</v>
      </c>
      <c r="AA96" s="1">
        <v>-4.6393863998708262E-2</v>
      </c>
      <c r="AB96" s="1">
        <v>2.947393370462903E-3</v>
      </c>
      <c r="AD96" s="1">
        <v>0.3978429223335625</v>
      </c>
      <c r="AF96" s="4">
        <v>1.607173975907396</v>
      </c>
      <c r="AH96" s="1">
        <v>-0.56592681319338578</v>
      </c>
      <c r="AI96" s="1">
        <v>-0.56512167033226735</v>
      </c>
      <c r="AP96" s="22">
        <v>44773</v>
      </c>
      <c r="AT96" s="1">
        <v>0.32358854070017018</v>
      </c>
    </row>
    <row r="97" spans="1:46" x14ac:dyDescent="0.25">
      <c r="A97" s="2">
        <v>94</v>
      </c>
      <c r="B97" s="1">
        <v>-7.2370000000000004E-2</v>
      </c>
      <c r="C97" s="1">
        <v>-4.0781999999999999E-2</v>
      </c>
      <c r="D97" s="1">
        <v>1.487E-3</v>
      </c>
      <c r="F97" s="1">
        <v>-7.2370000000000004E-2</v>
      </c>
      <c r="G97" s="1">
        <v>-4.0781999999999999E-2</v>
      </c>
      <c r="H97" s="1">
        <v>1.487E-3</v>
      </c>
      <c r="J97" s="4">
        <v>2018.10436146089</v>
      </c>
      <c r="K97" s="4">
        <v>2275.6715707508597</v>
      </c>
      <c r="M97" s="1">
        <v>-0.69249060937189633</v>
      </c>
      <c r="N97" s="1">
        <v>-0.16144263202883491</v>
      </c>
      <c r="V97" s="1">
        <v>0.11051166439263249</v>
      </c>
      <c r="W97" s="1">
        <v>0.15080297377892893</v>
      </c>
      <c r="X97" s="1">
        <v>2.0982067658760872E-2</v>
      </c>
      <c r="Z97" s="1">
        <v>-0.6547858684699146</v>
      </c>
      <c r="AA97" s="1">
        <v>-0.11227596640267357</v>
      </c>
      <c r="AB97" s="1">
        <v>4.4076395075802743E-3</v>
      </c>
      <c r="AD97" s="1">
        <v>0.38546325318587288</v>
      </c>
      <c r="AF97" s="4">
        <v>1.5166886140498073</v>
      </c>
      <c r="AH97" s="1">
        <v>-0.55958812519349543</v>
      </c>
      <c r="AI97" s="1">
        <v>-0.55873604733529525</v>
      </c>
      <c r="AP97" s="22">
        <v>44804</v>
      </c>
      <c r="AT97" s="1">
        <v>0.32327865315543886</v>
      </c>
    </row>
    <row r="98" spans="1:46" x14ac:dyDescent="0.25">
      <c r="A98" s="2">
        <v>95</v>
      </c>
      <c r="B98" s="1">
        <v>-9.9265999999999993E-2</v>
      </c>
      <c r="C98" s="1">
        <v>-9.2099E-2</v>
      </c>
      <c r="D98" s="1">
        <v>1.9589999999999998E-3</v>
      </c>
      <c r="F98" s="1">
        <v>-9.9265999999999993E-2</v>
      </c>
      <c r="G98" s="1">
        <v>-9.2099E-2</v>
      </c>
      <c r="H98" s="1">
        <v>1.9589999999999998E-3</v>
      </c>
      <c r="J98" s="4">
        <v>1817.7752139161134</v>
      </c>
      <c r="K98" s="4">
        <v>2066.0844947562764</v>
      </c>
      <c r="M98" s="1">
        <v>-0.72301583654198565</v>
      </c>
      <c r="N98" s="1">
        <v>-0.23867292706161114</v>
      </c>
      <c r="V98" s="1">
        <v>0.11147639950765931</v>
      </c>
      <c r="W98" s="1">
        <v>0.15439335324398473</v>
      </c>
      <c r="X98" s="1">
        <v>2.0792189371529046E-2</v>
      </c>
      <c r="Z98" s="1">
        <v>-0.65699643859820722</v>
      </c>
      <c r="AA98" s="1">
        <v>-0.15472051324392855</v>
      </c>
      <c r="AB98" s="1">
        <v>6.3370332661114581E-3</v>
      </c>
      <c r="AD98" s="1">
        <v>0.38575028538821698</v>
      </c>
      <c r="AF98" s="4">
        <v>1.3539847606425985</v>
      </c>
      <c r="AH98" s="1">
        <v>-0.54049064078982423</v>
      </c>
      <c r="AI98" s="1">
        <v>-0.54002391229869828</v>
      </c>
      <c r="AP98" s="22">
        <v>44834</v>
      </c>
      <c r="AT98" s="1">
        <v>0.32397125195553367</v>
      </c>
    </row>
    <row r="99" spans="1:46" x14ac:dyDescent="0.25">
      <c r="A99" s="2">
        <v>96</v>
      </c>
      <c r="B99" s="1">
        <v>1.5473000000000001E-2</v>
      </c>
      <c r="C99" s="1">
        <v>8.0961000000000005E-2</v>
      </c>
      <c r="D99" s="1">
        <v>2.477E-3</v>
      </c>
      <c r="F99" s="1">
        <v>1.5473000000000001E-2</v>
      </c>
      <c r="G99" s="1">
        <v>8.0961000000000005E-2</v>
      </c>
      <c r="H99" s="1">
        <v>2.477E-3</v>
      </c>
      <c r="J99" s="4">
        <v>1845.9016498010376</v>
      </c>
      <c r="K99" s="4">
        <v>2233.3567615362394</v>
      </c>
      <c r="M99" s="1">
        <v>-0.7187300605807998</v>
      </c>
      <c r="N99" s="1">
        <v>-0.17703512590944626</v>
      </c>
      <c r="V99" s="1">
        <v>9.4924169714110551E-2</v>
      </c>
      <c r="W99" s="1">
        <v>0.15001872035066577</v>
      </c>
      <c r="X99" s="1">
        <v>2.0605535839659739E-2</v>
      </c>
      <c r="Z99" s="1">
        <v>-0.68226509238713118</v>
      </c>
      <c r="AA99" s="1">
        <v>-0.14611101105979885</v>
      </c>
      <c r="AB99" s="1">
        <v>8.7934135346243725E-3</v>
      </c>
      <c r="AD99" s="1">
        <v>0.35274221140657375</v>
      </c>
      <c r="AF99" s="4">
        <v>1.1744289394049401</v>
      </c>
      <c r="AH99" s="1">
        <v>-0.59582902884293565</v>
      </c>
      <c r="AI99" s="1">
        <v>-0.59559039775092271</v>
      </c>
      <c r="AP99" s="22">
        <v>44865</v>
      </c>
      <c r="AT99" s="1">
        <v>0.32226605172293515</v>
      </c>
    </row>
    <row r="100" spans="1:46" x14ac:dyDescent="0.25">
      <c r="A100" s="2">
        <v>97</v>
      </c>
      <c r="B100" s="1">
        <v>-2.0698000000000001E-2</v>
      </c>
      <c r="C100" s="1">
        <v>5.5884000000000003E-2</v>
      </c>
      <c r="D100" s="1">
        <v>2.8660000000000001E-3</v>
      </c>
      <c r="F100" s="1">
        <v>-2.0698000000000001E-2</v>
      </c>
      <c r="G100" s="1">
        <v>5.5884000000000003E-2</v>
      </c>
      <c r="H100" s="1">
        <v>2.8660000000000001E-3</v>
      </c>
      <c r="J100" s="4">
        <v>1807.6951774534557</v>
      </c>
      <c r="K100" s="4">
        <v>2358.1656707979309</v>
      </c>
      <c r="M100" s="1">
        <v>-0.72455178578689838</v>
      </c>
      <c r="N100" s="1">
        <v>-0.13104455688576955</v>
      </c>
      <c r="V100" s="1">
        <v>0.10314947768100335</v>
      </c>
      <c r="W100" s="1">
        <v>0.1483895704991276</v>
      </c>
      <c r="X100" s="1">
        <v>2.0421249435132571E-2</v>
      </c>
      <c r="Z100" s="1">
        <v>-0.6432352628623903</v>
      </c>
      <c r="AA100" s="1">
        <v>-9.2101449747162722E-2</v>
      </c>
      <c r="AB100" s="1">
        <v>1.16461729032451E-2</v>
      </c>
      <c r="AD100" s="1">
        <v>0.35509610103117922</v>
      </c>
      <c r="AF100" s="4">
        <v>1.1564163088148809</v>
      </c>
      <c r="AH100" s="1">
        <v>-0.58162356124065806</v>
      </c>
      <c r="AI100" s="1">
        <v>-0.58097878325684049</v>
      </c>
      <c r="AP100" s="22">
        <v>44895</v>
      </c>
      <c r="AT100" s="1">
        <v>0.3207739213543857</v>
      </c>
    </row>
    <row r="101" spans="1:46" x14ac:dyDescent="0.25">
      <c r="A101" s="2">
        <v>98</v>
      </c>
      <c r="B101" s="1">
        <v>-0.16577800000000001</v>
      </c>
      <c r="C101" s="1">
        <v>-5.7613999999999999E-2</v>
      </c>
      <c r="D101" s="1">
        <v>3.375E-3</v>
      </c>
      <c r="F101" s="1">
        <v>-0.16577800000000001</v>
      </c>
      <c r="G101" s="1">
        <v>-5.7613999999999999E-2</v>
      </c>
      <c r="H101" s="1">
        <v>3.375E-3</v>
      </c>
      <c r="J101" s="4">
        <v>1508.0190863255768</v>
      </c>
      <c r="K101" s="4">
        <v>2222.3023138405788</v>
      </c>
      <c r="M101" s="1">
        <v>-0.77021503984271789</v>
      </c>
      <c r="N101" s="1">
        <v>-0.1811085557853529</v>
      </c>
      <c r="V101" s="1">
        <v>0.10165246258397231</v>
      </c>
      <c r="W101" s="1">
        <v>0.14696639840911208</v>
      </c>
      <c r="X101" s="1">
        <v>2.0240506446624229E-2</v>
      </c>
      <c r="Z101" s="1">
        <v>-0.66975290633071971</v>
      </c>
      <c r="AA101" s="1">
        <v>-0.18110855578535323</v>
      </c>
      <c r="AB101" s="1">
        <v>1.5017847987177424E-2</v>
      </c>
      <c r="AD101" s="1">
        <v>0.36575340006969925</v>
      </c>
      <c r="AF101" s="4">
        <v>1.2808420188566205</v>
      </c>
      <c r="AH101" s="1">
        <v>-0.54752274247223143</v>
      </c>
      <c r="AI101" s="1">
        <v>-0.54556071192649624</v>
      </c>
      <c r="AP101" s="22">
        <v>44926</v>
      </c>
      <c r="AT101" s="1">
        <v>0.32501813061510298</v>
      </c>
    </row>
    <row r="102" spans="1:46" x14ac:dyDescent="0.25">
      <c r="A102" s="2">
        <v>99</v>
      </c>
      <c r="B102" s="1">
        <v>0.27892099999999997</v>
      </c>
      <c r="C102" s="1">
        <v>6.2834000000000001E-2</v>
      </c>
      <c r="D102" s="1">
        <v>3.6909999999999998E-3</v>
      </c>
      <c r="F102" s="1">
        <v>0.27892099999999997</v>
      </c>
      <c r="G102" s="1">
        <v>6.2834000000000001E-2</v>
      </c>
      <c r="H102" s="1">
        <v>3.6909999999999998E-3</v>
      </c>
      <c r="J102" s="4">
        <v>1928.637277902593</v>
      </c>
      <c r="K102" s="4">
        <v>2361.9384574284377</v>
      </c>
      <c r="M102" s="1">
        <v>-0.70612318897068871</v>
      </c>
      <c r="N102" s="1">
        <v>-0.12965433077956978</v>
      </c>
      <c r="V102" s="1">
        <v>0.11031809924091251</v>
      </c>
      <c r="W102" s="1">
        <v>0.15041649174741689</v>
      </c>
      <c r="X102" s="1">
        <v>2.0061468034276331E-2</v>
      </c>
      <c r="Z102" s="1">
        <v>-0.46981534256565216</v>
      </c>
      <c r="AA102" s="1">
        <v>-8.2158802323398783E-2</v>
      </c>
      <c r="AB102" s="1">
        <v>1.8716399193335898E-2</v>
      </c>
      <c r="AD102" s="1">
        <v>0.48908455643384491</v>
      </c>
      <c r="AF102" s="4">
        <v>1.5570424647803383</v>
      </c>
      <c r="AH102" s="1">
        <v>-0.34480598731407242</v>
      </c>
      <c r="AI102" s="1">
        <v>-0.33807898871857733</v>
      </c>
      <c r="AP102" s="22">
        <v>44957</v>
      </c>
      <c r="AT102" s="1">
        <v>0.33677082553095583</v>
      </c>
    </row>
    <row r="103" spans="1:46" x14ac:dyDescent="0.25">
      <c r="A103" s="2">
        <v>100</v>
      </c>
      <c r="B103" s="1">
        <v>-9.7079999999999996E-3</v>
      </c>
      <c r="C103" s="1">
        <v>-2.4399000000000001E-2</v>
      </c>
      <c r="D103" s="1">
        <v>3.4880000000000002E-3</v>
      </c>
      <c r="F103" s="1">
        <v>-9.7079999999999996E-3</v>
      </c>
      <c r="G103" s="1">
        <v>-2.4399000000000001E-2</v>
      </c>
      <c r="H103" s="1">
        <v>3.4880000000000002E-3</v>
      </c>
      <c r="J103" s="4">
        <v>1909.9140672087146</v>
      </c>
      <c r="K103" s="4">
        <v>2304.3095210056413</v>
      </c>
      <c r="M103" s="1">
        <v>-0.70897614505216122</v>
      </c>
      <c r="N103" s="1">
        <v>-0.15088989476287906</v>
      </c>
      <c r="V103" s="1">
        <v>0.10793615870814244</v>
      </c>
      <c r="W103" s="1">
        <v>0.14916239061441261</v>
      </c>
      <c r="X103" s="1">
        <v>1.9883348945152868E-2</v>
      </c>
      <c r="Z103" s="1">
        <v>-0.43944265932836679</v>
      </c>
      <c r="AA103" s="1">
        <v>-7.6915125477430069E-2</v>
      </c>
      <c r="AB103" s="1">
        <v>2.2193017517408542E-2</v>
      </c>
      <c r="AD103" s="1">
        <v>0.48950905094613101</v>
      </c>
      <c r="AF103" s="4">
        <v>1.541626404550283</v>
      </c>
      <c r="AH103" s="1">
        <v>-0.3141712228353426</v>
      </c>
      <c r="AI103" s="1">
        <v>-0.30622507365255391</v>
      </c>
      <c r="AP103" s="22">
        <v>44985</v>
      </c>
      <c r="AT103" s="1">
        <v>0.33514508466346876</v>
      </c>
    </row>
    <row r="104" spans="1:46" x14ac:dyDescent="0.25">
      <c r="A104" s="2">
        <v>101</v>
      </c>
      <c r="B104" s="1">
        <v>1.9807000000000002E-2</v>
      </c>
      <c r="C104" s="1">
        <v>3.6713999999999997E-2</v>
      </c>
      <c r="D104" s="1">
        <v>3.9979999999999998E-3</v>
      </c>
      <c r="F104" s="1">
        <v>1.9807000000000002E-2</v>
      </c>
      <c r="G104" s="1">
        <v>3.6713999999999997E-2</v>
      </c>
      <c r="H104" s="1">
        <v>3.9979999999999998E-3</v>
      </c>
      <c r="J104" s="4">
        <v>1947.7437351379174</v>
      </c>
      <c r="K104" s="4">
        <v>2388.9099407598424</v>
      </c>
      <c r="M104" s="1">
        <v>-0.70321183555720945</v>
      </c>
      <c r="N104" s="1">
        <v>-0.11971566635920339</v>
      </c>
      <c r="V104" s="1">
        <v>0.11080165846564283</v>
      </c>
      <c r="W104" s="1">
        <v>0.15001092892079315</v>
      </c>
      <c r="X104" s="1">
        <v>1.971024069528915E-2</v>
      </c>
      <c r="Z104" s="1">
        <v>-0.39222187736603809</v>
      </c>
      <c r="AA104" s="1">
        <v>-7.7285381190601576E-2</v>
      </c>
      <c r="AB104" s="1">
        <v>2.6116592663209426E-2</v>
      </c>
      <c r="AD104" s="1">
        <v>0.49210461175971698</v>
      </c>
      <c r="AF104" s="4">
        <v>1.6060024505476798</v>
      </c>
      <c r="AH104" s="1">
        <v>-0.2527897261655716</v>
      </c>
      <c r="AI104" s="1">
        <v>-0.24095180996741117</v>
      </c>
      <c r="AP104" s="22">
        <v>45016</v>
      </c>
      <c r="AT104" s="1">
        <v>0.33347851529900119</v>
      </c>
    </row>
    <row r="105" spans="1:46" x14ac:dyDescent="0.25">
      <c r="A105" s="2">
        <v>102</v>
      </c>
      <c r="B105" s="1">
        <v>-0.108823</v>
      </c>
      <c r="C105" s="1">
        <v>1.5608E-2</v>
      </c>
      <c r="D105" s="1">
        <v>3.98E-3</v>
      </c>
      <c r="F105" s="1">
        <v>-0.108823</v>
      </c>
      <c r="G105" s="1">
        <v>1.5608E-2</v>
      </c>
      <c r="H105" s="1">
        <v>3.98E-3</v>
      </c>
      <c r="J105" s="4">
        <v>1735.7844186490038</v>
      </c>
      <c r="K105" s="4">
        <v>2426.196047115222</v>
      </c>
      <c r="M105" s="1">
        <v>-0.73550921397636726</v>
      </c>
      <c r="N105" s="1">
        <v>-0.10597618847973789</v>
      </c>
      <c r="V105" s="1">
        <v>0.10882525855939185</v>
      </c>
      <c r="W105" s="1">
        <v>0.1489590668261549</v>
      </c>
      <c r="X105" s="1">
        <v>1.9543433310700742E-2</v>
      </c>
      <c r="Z105" s="1">
        <v>-0.23999314695398821</v>
      </c>
      <c r="AA105" s="1">
        <v>2.6641544547397977E-2</v>
      </c>
      <c r="AB105" s="1">
        <v>2.9909072434510575E-2</v>
      </c>
      <c r="AD105" s="1">
        <v>0.41748991270764418</v>
      </c>
      <c r="AF105" s="4">
        <v>1.3240060133542715</v>
      </c>
      <c r="AH105" s="1">
        <v>-0.23178082805484435</v>
      </c>
      <c r="AI105" s="1">
        <v>-0.22425392352425777</v>
      </c>
      <c r="AP105" s="22">
        <v>45046</v>
      </c>
      <c r="AT105" s="1">
        <v>0.33436878609702619</v>
      </c>
    </row>
    <row r="106" spans="1:46" x14ac:dyDescent="0.25">
      <c r="A106" s="2">
        <v>103</v>
      </c>
      <c r="B106" s="1">
        <v>0.12650600000000001</v>
      </c>
      <c r="C106" s="1">
        <v>4.3470000000000002E-3</v>
      </c>
      <c r="D106" s="1">
        <v>4.2319999999999997E-3</v>
      </c>
      <c r="F106" s="1">
        <v>0.12650600000000001</v>
      </c>
      <c r="G106" s="1">
        <v>4.3470000000000002E-3</v>
      </c>
      <c r="H106" s="1">
        <v>4.2319999999999997E-3</v>
      </c>
      <c r="J106" s="4">
        <v>1955.3715623146147</v>
      </c>
      <c r="K106" s="4">
        <v>2436.742721332032</v>
      </c>
      <c r="M106" s="1">
        <v>-0.70204954259966157</v>
      </c>
      <c r="N106" s="1">
        <v>-0.10208986697105926</v>
      </c>
      <c r="V106" s="1">
        <v>0.12322274433395219</v>
      </c>
      <c r="W106" s="1">
        <v>0.15621896773310984</v>
      </c>
      <c r="X106" s="1">
        <v>1.9379535197210584E-2</v>
      </c>
      <c r="Z106" s="1">
        <v>-8.3065016908389744E-2</v>
      </c>
      <c r="AA106" s="1">
        <v>2.9215744450478365E-2</v>
      </c>
      <c r="AB106" s="1">
        <v>3.3768337522029901E-2</v>
      </c>
      <c r="AD106" s="1">
        <v>0.43642886632135763</v>
      </c>
      <c r="AF106" s="4">
        <v>1.321720837034337</v>
      </c>
      <c r="AH106" s="1">
        <v>-6.8939122853922896E-2</v>
      </c>
      <c r="AI106" s="1">
        <v>-5.8845336770354084E-2</v>
      </c>
      <c r="AP106" s="22">
        <v>45077</v>
      </c>
      <c r="AT106" s="1">
        <v>0.33509151195963227</v>
      </c>
    </row>
    <row r="107" spans="1:46" x14ac:dyDescent="0.25">
      <c r="A107" s="2">
        <v>104</v>
      </c>
      <c r="B107" s="1">
        <v>8.9802999999999994E-2</v>
      </c>
      <c r="C107" s="1">
        <v>6.6074999999999995E-2</v>
      </c>
      <c r="D107" s="1">
        <v>4.2579999999999996E-3</v>
      </c>
      <c r="F107" s="1">
        <v>8.9802999999999994E-2</v>
      </c>
      <c r="G107" s="1">
        <v>6.6074999999999995E-2</v>
      </c>
      <c r="H107" s="1">
        <v>4.2579999999999996E-3</v>
      </c>
      <c r="J107" s="4">
        <v>2130.9697947251543</v>
      </c>
      <c r="K107" s="4">
        <v>2597.7504966440465</v>
      </c>
      <c r="M107" s="1">
        <v>-0.6752926976737389</v>
      </c>
      <c r="N107" s="1">
        <v>-4.2760454931171754E-2</v>
      </c>
      <c r="V107" s="1">
        <v>0.12253539990786222</v>
      </c>
      <c r="W107" s="1">
        <v>0.15442650597992325</v>
      </c>
      <c r="X107" s="1">
        <v>1.9212582953876955E-2</v>
      </c>
      <c r="Z107" s="1">
        <v>0.10418489376501272</v>
      </c>
      <c r="AA107" s="1">
        <v>0.19593874231030628</v>
      </c>
      <c r="AB107" s="1">
        <v>3.7469830967295836E-2</v>
      </c>
      <c r="AD107" s="1">
        <v>0.43178552385130448</v>
      </c>
      <c r="AF107" s="4">
        <v>1.3835631991866277</v>
      </c>
      <c r="AH107" s="1">
        <v>-9.1146898314148017E-2</v>
      </c>
      <c r="AI107" s="1">
        <v>-7.7541893540200135E-2</v>
      </c>
      <c r="AP107" s="22">
        <v>45107</v>
      </c>
      <c r="AT107" s="1">
        <v>0.33452853993349263</v>
      </c>
    </row>
    <row r="108" spans="1:46" x14ac:dyDescent="0.25">
      <c r="A108" s="2">
        <v>105</v>
      </c>
      <c r="B108" s="1">
        <v>0.142488</v>
      </c>
      <c r="C108" s="1">
        <v>3.2125000000000001E-2</v>
      </c>
      <c r="D108" s="1">
        <v>4.5560000000000002E-3</v>
      </c>
      <c r="F108" s="1">
        <v>0.142488</v>
      </c>
      <c r="G108" s="1">
        <v>3.2125000000000001E-2</v>
      </c>
      <c r="H108" s="1">
        <v>4.5560000000000002E-3</v>
      </c>
      <c r="J108" s="4">
        <v>2434.6074188359521</v>
      </c>
      <c r="K108" s="4">
        <v>2681.2032313487366</v>
      </c>
      <c r="M108" s="1">
        <v>-0.62902580357987459</v>
      </c>
      <c r="N108" s="1">
        <v>-1.2009134545835631E-2</v>
      </c>
      <c r="V108" s="1">
        <v>9.6635763843996303E-2</v>
      </c>
      <c r="W108" s="1">
        <v>0.14616222768354992</v>
      </c>
      <c r="X108" s="1">
        <v>1.9042432867153902E-2</v>
      </c>
      <c r="Z108" s="1">
        <v>0.11907734954794136</v>
      </c>
      <c r="AA108" s="1">
        <v>0.13015359255873848</v>
      </c>
      <c r="AB108" s="1">
        <v>4.1116905286400884E-2</v>
      </c>
      <c r="AD108" s="1">
        <v>0.43633868052184582</v>
      </c>
      <c r="AF108" s="4">
        <v>1.4305873988603723</v>
      </c>
      <c r="AH108" s="1">
        <v>-3.4268584141649017E-3</v>
      </c>
      <c r="AI108" s="1">
        <v>1.4629633087497318E-2</v>
      </c>
      <c r="AP108" s="22">
        <v>45138</v>
      </c>
      <c r="AT108" s="1">
        <v>0.33582887320709204</v>
      </c>
    </row>
    <row r="109" spans="1:46" x14ac:dyDescent="0.25">
      <c r="A109" s="2">
        <v>106</v>
      </c>
      <c r="B109" s="1">
        <v>-0.13174</v>
      </c>
      <c r="C109" s="1">
        <v>-1.5921999999999999E-2</v>
      </c>
      <c r="D109" s="1">
        <v>4.6499999999999996E-3</v>
      </c>
      <c r="F109" s="1">
        <v>-0.13174</v>
      </c>
      <c r="G109" s="1">
        <v>-1.5921999999999999E-2</v>
      </c>
      <c r="H109" s="1">
        <v>4.6499999999999996E-3</v>
      </c>
      <c r="J109" s="4">
        <v>2113.8722374785038</v>
      </c>
      <c r="K109" s="4">
        <v>2638.5131134992021</v>
      </c>
      <c r="M109" s="1">
        <v>-0.67789794421626193</v>
      </c>
      <c r="N109" s="1">
        <v>-2.7739925105596863E-2</v>
      </c>
      <c r="V109" s="1">
        <v>9.3934397597869923E-2</v>
      </c>
      <c r="W109" s="1">
        <v>0.14262980833979411</v>
      </c>
      <c r="X109" s="1">
        <v>1.8869984808939311E-2</v>
      </c>
      <c r="Z109" s="1">
        <v>4.7454372452913063E-2</v>
      </c>
      <c r="AA109" s="1">
        <v>0.1594437208830719</v>
      </c>
      <c r="AB109" s="1">
        <v>4.4405068559035143E-2</v>
      </c>
      <c r="AD109" s="1">
        <v>0.45322204166039648</v>
      </c>
      <c r="AF109" s="4">
        <v>1.5102359343748615</v>
      </c>
      <c r="AH109" s="1">
        <v>-0.10594761961221921</v>
      </c>
      <c r="AI109" s="1">
        <v>-8.5363782325980964E-2</v>
      </c>
      <c r="AP109" s="22">
        <v>45169</v>
      </c>
      <c r="AT109" s="1">
        <v>0.33776412812896078</v>
      </c>
    </row>
    <row r="110" spans="1:46" x14ac:dyDescent="0.25">
      <c r="A110" s="2">
        <v>107</v>
      </c>
      <c r="B110" s="1">
        <v>-9.4247999999999998E-2</v>
      </c>
      <c r="C110" s="1">
        <v>-4.7677999999999998E-2</v>
      </c>
      <c r="D110" s="1">
        <v>4.5149999999999999E-3</v>
      </c>
      <c r="F110" s="1">
        <v>-9.4247999999999998E-2</v>
      </c>
      <c r="G110" s="1">
        <v>-4.7677999999999998E-2</v>
      </c>
      <c r="H110" s="1">
        <v>4.5149999999999999E-3</v>
      </c>
      <c r="J110" s="4">
        <v>1914.6440068406298</v>
      </c>
      <c r="K110" s="4">
        <v>2512.7140852737871</v>
      </c>
      <c r="M110" s="1">
        <v>-0.70825541876976761</v>
      </c>
      <c r="N110" s="1">
        <v>-7.4095340956412237E-2</v>
      </c>
      <c r="V110" s="1">
        <v>0.10078971433191253</v>
      </c>
      <c r="W110" s="1">
        <v>0.14158699493416038</v>
      </c>
      <c r="X110" s="1">
        <v>1.8695190663674532E-2</v>
      </c>
      <c r="Z110" s="1">
        <v>5.3289753421066344E-2</v>
      </c>
      <c r="AA110" s="1">
        <v>0.21617198698845885</v>
      </c>
      <c r="AB110" s="1">
        <v>4.7069348589692472E-2</v>
      </c>
      <c r="AD110" s="1">
        <v>0.45191107418757026</v>
      </c>
      <c r="AF110" s="4">
        <v>1.7756917801839955</v>
      </c>
      <c r="AH110" s="1">
        <v>-0.20643071647225941</v>
      </c>
      <c r="AI110" s="1">
        <v>-0.17492582384390976</v>
      </c>
      <c r="AP110" s="22">
        <v>45199</v>
      </c>
      <c r="AT110" s="1">
        <v>0.3380384278655888</v>
      </c>
    </row>
    <row r="111" spans="1:46" x14ac:dyDescent="0.25">
      <c r="A111" s="2">
        <v>108</v>
      </c>
      <c r="B111" s="1">
        <v>-0.114846</v>
      </c>
      <c r="C111" s="1">
        <v>-2.1027000000000001E-2</v>
      </c>
      <c r="D111" s="1">
        <v>4.7109999999999999E-3</v>
      </c>
      <c r="F111" s="1">
        <v>-0.114846</v>
      </c>
      <c r="G111" s="1">
        <v>-2.1027000000000001E-2</v>
      </c>
      <c r="H111" s="1">
        <v>4.7109999999999999E-3</v>
      </c>
      <c r="J111" s="4">
        <v>1694.7548012310108</v>
      </c>
      <c r="K111" s="4">
        <v>2459.879246202735</v>
      </c>
      <c r="M111" s="1">
        <v>-0.74176111694573499</v>
      </c>
      <c r="N111" s="1">
        <v>-9.3564338222121735E-2</v>
      </c>
      <c r="V111" s="1">
        <v>0.10614074536063267</v>
      </c>
      <c r="W111" s="1">
        <v>0.15049416446177299</v>
      </c>
      <c r="X111" s="1">
        <v>1.8523209941045504E-2</v>
      </c>
      <c r="Z111" s="1">
        <v>-8.1882395297885213E-2</v>
      </c>
      <c r="AA111" s="1">
        <v>0.10142691421619454</v>
      </c>
      <c r="AB111" s="1">
        <v>4.9402721749125744E-2</v>
      </c>
      <c r="AD111" s="1">
        <v>0.46922474017390925</v>
      </c>
      <c r="AF111" s="4">
        <v>2.2563204573523281</v>
      </c>
      <c r="AH111" s="1">
        <v>-0.20693340276093464</v>
      </c>
      <c r="AI111" s="1">
        <v>-0.15606275638375255</v>
      </c>
      <c r="AP111" s="22">
        <v>45230</v>
      </c>
      <c r="AT111" s="1">
        <v>0.33905285334783791</v>
      </c>
    </row>
    <row r="112" spans="1:46" x14ac:dyDescent="0.25">
      <c r="A112" s="2">
        <v>109</v>
      </c>
      <c r="B112" s="1">
        <v>0.31514199999999998</v>
      </c>
      <c r="C112" s="1">
        <v>9.1325000000000003E-2</v>
      </c>
      <c r="D112" s="1">
        <v>4.5719999999999997E-3</v>
      </c>
      <c r="F112" s="1">
        <v>0.31514199999999998</v>
      </c>
      <c r="G112" s="1">
        <v>9.1325000000000003E-2</v>
      </c>
      <c r="H112" s="1">
        <v>4.5719999999999997E-3</v>
      </c>
      <c r="J112" s="4">
        <v>2228.843218800554</v>
      </c>
      <c r="K112" s="4">
        <v>2684.5277183622002</v>
      </c>
      <c r="M112" s="1">
        <v>-0.66037919886224772</v>
      </c>
      <c r="N112" s="1">
        <v>-1.0784101410256874E-2</v>
      </c>
      <c r="V112" s="1">
        <v>9.7826494244344087E-2</v>
      </c>
      <c r="W112" s="1">
        <v>0.14585047113172678</v>
      </c>
      <c r="X112" s="1">
        <v>1.8354637287612663E-2</v>
      </c>
      <c r="Z112" s="1">
        <v>0.23297514238013273</v>
      </c>
      <c r="AA112" s="1">
        <v>0.13839657306767483</v>
      </c>
      <c r="AB112" s="1">
        <v>5.1187886510224212E-2</v>
      </c>
      <c r="AD112" s="1">
        <v>0.56309912622460101</v>
      </c>
      <c r="AF112" s="4">
        <v>2.9017627704948414</v>
      </c>
      <c r="AH112" s="1">
        <v>-6.3712271243057006E-2</v>
      </c>
      <c r="AI112" s="1">
        <v>2.9343574203685385E-2</v>
      </c>
      <c r="AP112" s="22">
        <v>45260</v>
      </c>
      <c r="AT112" s="1">
        <v>0.35237196675638299</v>
      </c>
    </row>
    <row r="113" spans="1:46" x14ac:dyDescent="0.25">
      <c r="A113" s="2">
        <v>110</v>
      </c>
      <c r="B113" s="1">
        <v>0.13659499999999999</v>
      </c>
      <c r="C113" s="1">
        <v>4.5430999999999999E-2</v>
      </c>
      <c r="D113" s="1">
        <v>4.705E-3</v>
      </c>
      <c r="F113" s="1">
        <v>0.13659499999999999</v>
      </c>
      <c r="G113" s="1">
        <v>4.5430999999999999E-2</v>
      </c>
      <c r="H113" s="1">
        <v>4.705E-3</v>
      </c>
      <c r="J113" s="4">
        <v>2533.2920582726156</v>
      </c>
      <c r="K113" s="4">
        <v>2806.4884971351134</v>
      </c>
      <c r="M113" s="1">
        <v>-0.61398869553083646</v>
      </c>
      <c r="N113" s="1">
        <v>0</v>
      </c>
      <c r="V113" s="1">
        <v>8.8874656350033332E-2</v>
      </c>
      <c r="W113" s="1">
        <v>0.13669009815598465</v>
      </c>
      <c r="X113" s="1">
        <v>1.8189045662846848E-2</v>
      </c>
      <c r="Z113" s="1">
        <v>0.67988063363654616</v>
      </c>
      <c r="AA113" s="1">
        <v>0.26287430816959545</v>
      </c>
      <c r="AB113" s="1">
        <v>5.2581263751094731E-2</v>
      </c>
      <c r="AD113" s="1">
        <v>0.52918495566836288</v>
      </c>
      <c r="AF113" s="4">
        <v>2.9415717953591742</v>
      </c>
      <c r="AH113" s="1">
        <v>-6.9728715397742391E-2</v>
      </c>
      <c r="AI113" s="1">
        <v>2.7629992782434387E-2</v>
      </c>
      <c r="AP113" s="22">
        <v>45291</v>
      </c>
      <c r="AT113" s="1">
        <v>0.35313990450788041</v>
      </c>
    </row>
    <row r="114" spans="1:46" x14ac:dyDescent="0.25">
      <c r="A114" s="2">
        <v>111</v>
      </c>
      <c r="B114" s="1">
        <v>-0.13233500000000001</v>
      </c>
      <c r="C114" s="1">
        <v>1.6803999999999999E-2</v>
      </c>
      <c r="D114" s="1">
        <v>4.6709999999999998E-3</v>
      </c>
      <c r="F114" s="1">
        <v>-0.13233500000000001</v>
      </c>
      <c r="G114" s="1">
        <v>1.6803999999999999E-2</v>
      </c>
      <c r="H114" s="1">
        <v>4.6709999999999998E-3</v>
      </c>
      <c r="J114" s="4">
        <v>2198.0488537411093</v>
      </c>
      <c r="K114" s="4">
        <v>2853.648729840972</v>
      </c>
      <c r="M114" s="1">
        <v>-0.66507150150776317</v>
      </c>
      <c r="N114" s="1">
        <v>0</v>
      </c>
      <c r="V114" s="1">
        <v>8.8847346320621412E-2</v>
      </c>
      <c r="W114" s="1">
        <v>0.13792673070481776</v>
      </c>
      <c r="X114" s="1">
        <v>1.8024702994796415E-2</v>
      </c>
      <c r="Z114" s="1">
        <v>0.13969012158237604</v>
      </c>
      <c r="AA114" s="1">
        <v>0.20818081473125472</v>
      </c>
      <c r="AB114" s="1">
        <v>5.3609000015021113E-2</v>
      </c>
      <c r="AD114" s="1">
        <v>0.49748531361593518</v>
      </c>
      <c r="AF114" s="4">
        <v>2.6819543278925608</v>
      </c>
      <c r="AH114" s="1">
        <v>-0.25908126890435657</v>
      </c>
      <c r="AI114" s="1">
        <v>-0.18982937727768578</v>
      </c>
      <c r="AP114" s="22">
        <v>45322</v>
      </c>
      <c r="AT114" s="1">
        <v>0.35479040193675648</v>
      </c>
    </row>
    <row r="115" spans="1:46" x14ac:dyDescent="0.25">
      <c r="A115" s="2">
        <v>112</v>
      </c>
      <c r="B115" s="1">
        <v>0.129165</v>
      </c>
      <c r="C115" s="1">
        <v>5.3395999999999999E-2</v>
      </c>
      <c r="D115" s="1">
        <v>4.3429999999999996E-3</v>
      </c>
      <c r="F115" s="1">
        <v>0.129165</v>
      </c>
      <c r="G115" s="1">
        <v>5.3395999999999999E-2</v>
      </c>
      <c r="H115" s="1">
        <v>4.3429999999999996E-3</v>
      </c>
      <c r="J115" s="4">
        <v>2481.9598339345794</v>
      </c>
      <c r="K115" s="4">
        <v>3006.0221574195607</v>
      </c>
      <c r="M115" s="1">
        <v>-0.62181046200001344</v>
      </c>
      <c r="N115" s="1">
        <v>0</v>
      </c>
      <c r="V115" s="1">
        <v>8.7380217128588011E-2</v>
      </c>
      <c r="W115" s="1">
        <v>0.13423668187091176</v>
      </c>
      <c r="X115" s="1">
        <v>1.7863538948423185E-2</v>
      </c>
      <c r="Z115" s="1">
        <v>0.29951387685305297</v>
      </c>
      <c r="AA115" s="1">
        <v>0.30452186653626256</v>
      </c>
      <c r="AB115" s="1">
        <v>5.4506704516732229E-2</v>
      </c>
      <c r="AD115" s="1">
        <v>0.50775020165754015</v>
      </c>
      <c r="AF115" s="4">
        <v>2.9239872449882083</v>
      </c>
      <c r="AH115" s="1">
        <v>-0.35661692528407329</v>
      </c>
      <c r="AI115" s="1">
        <v>-0.28404837914027492</v>
      </c>
      <c r="AP115" s="22">
        <v>45351</v>
      </c>
      <c r="AT115" s="1">
        <v>0.35525492277014792</v>
      </c>
    </row>
    <row r="116" spans="1:46" x14ac:dyDescent="0.25">
      <c r="A116" s="2">
        <v>113</v>
      </c>
      <c r="B116" s="1">
        <v>-2.2289E-2</v>
      </c>
      <c r="C116" s="1">
        <v>3.2175000000000002E-2</v>
      </c>
      <c r="D116" s="1">
        <v>4.6350000000000002E-3</v>
      </c>
      <c r="F116" s="1">
        <v>-2.2289E-2</v>
      </c>
      <c r="G116" s="1">
        <v>3.2175000000000002E-2</v>
      </c>
      <c r="H116" s="1">
        <v>4.6350000000000002E-3</v>
      </c>
      <c r="J116" s="4">
        <v>2426.6394311960116</v>
      </c>
      <c r="K116" s="4">
        <v>3102.7409203345351</v>
      </c>
      <c r="M116" s="1">
        <v>-0.63023992861249511</v>
      </c>
      <c r="N116" s="1">
        <v>0</v>
      </c>
      <c r="V116" s="1">
        <v>8.9271186082903409E-2</v>
      </c>
      <c r="W116" s="1">
        <v>0.13451138512768002</v>
      </c>
      <c r="X116" s="1">
        <v>1.7705576424354108E-2</v>
      </c>
      <c r="Z116" s="1">
        <v>0.24587202485556148</v>
      </c>
      <c r="AA116" s="1">
        <v>0.2988103349545459</v>
      </c>
      <c r="AB116" s="1">
        <v>5.5175750441900373E-2</v>
      </c>
      <c r="AD116" s="1">
        <v>0.51054145169186449</v>
      </c>
      <c r="AF116" s="4">
        <v>2.9216994872989752</v>
      </c>
      <c r="AH116" s="1">
        <v>-0.37518933406220922</v>
      </c>
      <c r="AI116" s="1">
        <v>-0.30424461341023634</v>
      </c>
      <c r="AP116" s="22">
        <v>45382</v>
      </c>
      <c r="AT116" s="1">
        <v>0.35385574240438633</v>
      </c>
    </row>
    <row r="117" spans="1:46" x14ac:dyDescent="0.25">
      <c r="A117" s="2">
        <v>114</v>
      </c>
      <c r="B117" s="1">
        <v>-0.13184199999999999</v>
      </c>
      <c r="C117" s="1">
        <v>-4.0844999999999999E-2</v>
      </c>
      <c r="D117" s="1">
        <v>4.4889999999999999E-3</v>
      </c>
      <c r="F117" s="1">
        <v>-0.13184199999999999</v>
      </c>
      <c r="G117" s="1">
        <v>-4.0844999999999999E-2</v>
      </c>
      <c r="H117" s="1">
        <v>4.4889999999999999E-3</v>
      </c>
      <c r="J117" s="4">
        <v>2106.7064353082669</v>
      </c>
      <c r="K117" s="4">
        <v>2976.0094674434708</v>
      </c>
      <c r="M117" s="1">
        <v>-0.67898983594436657</v>
      </c>
      <c r="N117" s="1">
        <v>-4.084500000000002E-2</v>
      </c>
      <c r="V117" s="1">
        <v>8.9750243335400715E-2</v>
      </c>
      <c r="W117" s="1">
        <v>0.13439560411315643</v>
      </c>
      <c r="X117" s="1">
        <v>1.7550623263515419E-2</v>
      </c>
      <c r="Z117" s="1">
        <v>0.21369129292447453</v>
      </c>
      <c r="AA117" s="1">
        <v>0.22661541345019631</v>
      </c>
      <c r="AB117" s="1">
        <v>5.5710705776643277E-2</v>
      </c>
      <c r="AD117" s="1">
        <v>0.51773710633126602</v>
      </c>
      <c r="AF117" s="4">
        <v>2.8346014050645127</v>
      </c>
      <c r="AH117" s="1">
        <v>-0.26234887855821687</v>
      </c>
      <c r="AI117" s="1">
        <v>-0.18348784969076981</v>
      </c>
      <c r="AP117" s="22">
        <v>45412</v>
      </c>
      <c r="AT117" s="1">
        <v>0.35540727274984146</v>
      </c>
    </row>
    <row r="118" spans="1:46" x14ac:dyDescent="0.25">
      <c r="A118" s="2">
        <v>115</v>
      </c>
      <c r="B118" s="1">
        <v>-2.3324999999999999E-2</v>
      </c>
      <c r="C118" s="1">
        <v>4.9584999999999997E-2</v>
      </c>
      <c r="D118" s="1">
        <v>4.6480000000000002E-3</v>
      </c>
      <c r="F118" s="1">
        <v>-2.3324999999999999E-2</v>
      </c>
      <c r="G118" s="1">
        <v>4.9584999999999997E-2</v>
      </c>
      <c r="H118" s="1">
        <v>4.6480000000000002E-3</v>
      </c>
      <c r="J118" s="4">
        <v>2057.5675077047017</v>
      </c>
      <c r="K118" s="4">
        <v>3123.5748968866551</v>
      </c>
      <c r="M118" s="1">
        <v>-0.68647739802096419</v>
      </c>
      <c r="N118" s="1">
        <v>0</v>
      </c>
      <c r="V118" s="1">
        <v>8.4790789643646836E-2</v>
      </c>
      <c r="W118" s="1">
        <v>0.13126914137053625</v>
      </c>
      <c r="X118" s="1">
        <v>1.7398812566825184E-2</v>
      </c>
      <c r="Z118" s="1">
        <v>5.2264207662463535E-2</v>
      </c>
      <c r="AA118" s="1">
        <v>0.28186487212698785</v>
      </c>
      <c r="AB118" s="1">
        <v>5.6148030671291815E-2</v>
      </c>
      <c r="AD118" s="1">
        <v>0.50759836087922183</v>
      </c>
      <c r="AF118" s="4">
        <v>2.767619208112011</v>
      </c>
      <c r="AH118" s="1">
        <v>-0.43704009043324787</v>
      </c>
      <c r="AI118" s="1">
        <v>-0.37711787016385023</v>
      </c>
      <c r="AP118" s="22">
        <v>45443</v>
      </c>
      <c r="AT118" s="1">
        <v>0.35402624084095263</v>
      </c>
    </row>
    <row r="119" spans="1:46" x14ac:dyDescent="0.25">
      <c r="A119" s="2">
        <v>116</v>
      </c>
      <c r="B119" s="1">
        <v>3.4585999999999999E-2</v>
      </c>
      <c r="C119" s="1">
        <v>3.5881999999999997E-2</v>
      </c>
      <c r="D119" s="1">
        <v>4.5009999999999998E-3</v>
      </c>
      <c r="F119" s="1">
        <v>3.4585999999999999E-2</v>
      </c>
      <c r="G119" s="1">
        <v>3.5881999999999997E-2</v>
      </c>
      <c r="H119" s="1">
        <v>4.5009999999999998E-3</v>
      </c>
      <c r="J119" s="4">
        <v>2128.7305375261767</v>
      </c>
      <c r="K119" s="4">
        <v>3235.6550113367421</v>
      </c>
      <c r="M119" s="1">
        <v>-0.67563390530891732</v>
      </c>
      <c r="N119" s="1">
        <v>0</v>
      </c>
      <c r="V119" s="1">
        <v>9.0805420513030644E-2</v>
      </c>
      <c r="W119" s="1">
        <v>0.13661854782382754</v>
      </c>
      <c r="X119" s="1">
        <v>1.7249325670284588E-2</v>
      </c>
      <c r="Z119" s="1">
        <v>-1.050816020255696E-3</v>
      </c>
      <c r="AA119" s="1">
        <v>0.24556034750711619</v>
      </c>
      <c r="AB119" s="1">
        <v>5.6403586486085677E-2</v>
      </c>
      <c r="AD119" s="1">
        <v>0.50151593141621409</v>
      </c>
      <c r="AF119" s="4">
        <v>2.8633237365054303</v>
      </c>
      <c r="AH119" s="1">
        <v>-0.4333593316472848</v>
      </c>
      <c r="AI119" s="1">
        <v>-0.36957767124853425</v>
      </c>
      <c r="AP119" s="22">
        <v>45473</v>
      </c>
      <c r="AT119" s="1">
        <v>0.35256230396040661</v>
      </c>
    </row>
    <row r="120" spans="1:46" x14ac:dyDescent="0.25">
      <c r="A120" s="2">
        <v>117</v>
      </c>
      <c r="B120" s="1">
        <v>3.4561000000000001E-2</v>
      </c>
      <c r="C120" s="1">
        <v>1.2172000000000001E-2</v>
      </c>
      <c r="D120" s="1">
        <v>4.6499999999999996E-3</v>
      </c>
      <c r="F120" s="1">
        <v>3.4561000000000001E-2</v>
      </c>
      <c r="G120" s="1">
        <v>1.2172000000000001E-2</v>
      </c>
      <c r="H120" s="1">
        <v>4.6499999999999996E-3</v>
      </c>
      <c r="J120" s="4">
        <v>2202.3015936336192</v>
      </c>
      <c r="K120" s="4">
        <v>3275.0394041347331</v>
      </c>
      <c r="M120" s="1">
        <v>-0.66442348871029866</v>
      </c>
      <c r="N120" s="1">
        <v>0</v>
      </c>
      <c r="V120" s="1">
        <v>9.0455578822953298E-2</v>
      </c>
      <c r="W120" s="1">
        <v>0.13183151250972669</v>
      </c>
      <c r="X120" s="1">
        <v>1.7102519825909157E-2</v>
      </c>
      <c r="Z120" s="1">
        <v>-9.5418186687940221E-2</v>
      </c>
      <c r="AA120" s="1">
        <v>0.22148122374419033</v>
      </c>
      <c r="AB120" s="1">
        <v>5.6502438055465731E-2</v>
      </c>
      <c r="AD120" s="1">
        <v>0.48137341585924748</v>
      </c>
      <c r="AF120" s="4">
        <v>2.7779922699590673</v>
      </c>
      <c r="AH120" s="1">
        <v>-0.45252153795215688</v>
      </c>
      <c r="AI120" s="1">
        <v>-0.39353040458111244</v>
      </c>
      <c r="AP120" s="22">
        <v>45504</v>
      </c>
      <c r="AT120" s="1">
        <v>0.35111615463209411</v>
      </c>
    </row>
    <row r="121" spans="1:46" x14ac:dyDescent="0.25">
      <c r="A121" s="2">
        <v>118</v>
      </c>
      <c r="B121" s="1">
        <v>-1.5066E-2</v>
      </c>
      <c r="C121" s="1">
        <v>2.4257000000000001E-2</v>
      </c>
      <c r="D121" s="1">
        <v>4.6119999999999998E-3</v>
      </c>
      <c r="F121" s="1">
        <v>-1.5066E-2</v>
      </c>
      <c r="G121" s="1">
        <v>2.4257000000000001E-2</v>
      </c>
      <c r="H121" s="1">
        <v>4.6119999999999998E-3</v>
      </c>
      <c r="J121" s="4">
        <v>2169.1217178239349</v>
      </c>
      <c r="K121" s="4">
        <v>3354.4820349608294</v>
      </c>
      <c r="M121" s="1">
        <v>-0.66947928442938931</v>
      </c>
      <c r="N121" s="1">
        <v>0</v>
      </c>
      <c r="V121" s="1">
        <v>8.7398790668870907E-2</v>
      </c>
      <c r="W121" s="1">
        <v>0.13035435074434432</v>
      </c>
      <c r="X121" s="1">
        <v>1.6957602359722657E-2</v>
      </c>
      <c r="Z121" s="1">
        <v>2.6136622339737237E-2</v>
      </c>
      <c r="AA121" s="1">
        <v>0.27135317910628376</v>
      </c>
      <c r="AB121" s="1">
        <v>5.6462476782737303E-2</v>
      </c>
      <c r="AD121" s="1">
        <v>0.46022764008694655</v>
      </c>
      <c r="AF121" s="4">
        <v>2.6936727612866322</v>
      </c>
      <c r="AH121" s="1">
        <v>-0.43721092358850899</v>
      </c>
      <c r="AI121" s="1">
        <v>-0.37982633845381664</v>
      </c>
      <c r="AP121" s="22">
        <v>45535</v>
      </c>
      <c r="AT121" s="1">
        <v>0.34971760496091481</v>
      </c>
    </row>
    <row r="122" spans="1:46" x14ac:dyDescent="0.25">
      <c r="A122" s="2">
        <v>119</v>
      </c>
      <c r="B122" s="1">
        <v>5.9804999999999997E-2</v>
      </c>
      <c r="C122" s="1">
        <v>2.1357000000000001E-2</v>
      </c>
      <c r="D122" s="1">
        <v>4.3829999999999997E-3</v>
      </c>
      <c r="F122" s="1">
        <v>5.9804999999999997E-2</v>
      </c>
      <c r="G122" s="1">
        <v>2.1357000000000001E-2</v>
      </c>
      <c r="H122" s="1">
        <v>4.3829999999999997E-3</v>
      </c>
      <c r="J122" s="4">
        <v>2298.846042158395</v>
      </c>
      <c r="K122" s="4">
        <v>3426.1237077814881</v>
      </c>
      <c r="M122" s="1">
        <v>-0.64971249303468903</v>
      </c>
      <c r="N122" s="1">
        <v>0</v>
      </c>
      <c r="V122" s="1">
        <v>8.7563887667752249E-2</v>
      </c>
      <c r="W122" s="1">
        <v>0.13221712224147386</v>
      </c>
      <c r="X122" s="1">
        <v>1.6815448215374618E-2</v>
      </c>
      <c r="Z122" s="1">
        <v>0.20066499774636437</v>
      </c>
      <c r="AA122" s="1">
        <v>0.36351514398749196</v>
      </c>
      <c r="AB122" s="1">
        <v>5.6323650536304504E-2</v>
      </c>
      <c r="AD122" s="1">
        <v>0.44789699513443326</v>
      </c>
      <c r="AF122" s="4">
        <v>3.1346247052645331</v>
      </c>
      <c r="AH122" s="1">
        <v>-0.53138621643922568</v>
      </c>
      <c r="AI122" s="1">
        <v>-0.46964859855596364</v>
      </c>
      <c r="AP122" s="22">
        <v>45565</v>
      </c>
      <c r="AT122" s="1">
        <v>0.34856890436749127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C437-EAEE-4AD9-8676-8DF1908199F5}">
  <dimension ref="A1:D120"/>
  <sheetViews>
    <sheetView workbookViewId="0">
      <pane xSplit="1" ySplit="1" topLeftCell="B14" activePane="bottomRight" state="frozen"/>
      <selection pane="topRight" activeCell="B1" sqref="B1"/>
      <selection pane="bottomLeft" activeCell="A2" sqref="A2"/>
      <selection pane="bottomRight"/>
    </sheetView>
  </sheetViews>
  <sheetFormatPr defaultColWidth="8.88671875" defaultRowHeight="12" x14ac:dyDescent="0.25"/>
  <cols>
    <col min="1" max="1" width="8.44140625" style="13" bestFit="1" customWidth="1"/>
    <col min="2" max="2" width="6.44140625" style="1" bestFit="1" customWidth="1"/>
    <col min="3" max="3" width="10.6640625" style="1" bestFit="1" customWidth="1"/>
    <col min="4" max="4" width="5" style="1" bestFit="1" customWidth="1"/>
    <col min="5" max="16384" width="8.88671875" style="1"/>
  </cols>
  <sheetData>
    <row r="1" spans="1:4" s="9" customFormat="1" x14ac:dyDescent="0.25">
      <c r="A1" s="14" t="s">
        <v>27</v>
      </c>
      <c r="B1" s="9" t="s">
        <v>2</v>
      </c>
      <c r="C1" s="9" t="s">
        <v>3</v>
      </c>
      <c r="D1" s="9" t="s">
        <v>12</v>
      </c>
    </row>
    <row r="2" spans="1:4" x14ac:dyDescent="0.25">
      <c r="A2" s="13">
        <v>41973</v>
      </c>
      <c r="B2" s="1">
        <v>8.5240000000000003E-3</v>
      </c>
      <c r="C2" s="1">
        <v>2.6894999999999999E-2</v>
      </c>
      <c r="D2" s="1">
        <v>1.5E-5</v>
      </c>
    </row>
    <row r="3" spans="1:4" x14ac:dyDescent="0.25">
      <c r="A3" s="13">
        <v>42004</v>
      </c>
      <c r="B3" s="1">
        <v>-2.0181000000000001E-2</v>
      </c>
      <c r="C3" s="1">
        <v>-2.519E-3</v>
      </c>
      <c r="D3" s="1">
        <v>1.2E-5</v>
      </c>
    </row>
    <row r="4" spans="1:4" x14ac:dyDescent="0.25">
      <c r="A4" s="13">
        <v>42035</v>
      </c>
      <c r="B4" s="1">
        <v>4.1240000000000001E-3</v>
      </c>
      <c r="C4" s="1">
        <v>-3.0019000000000001E-2</v>
      </c>
      <c r="D4" s="1">
        <v>1.8E-5</v>
      </c>
    </row>
    <row r="5" spans="1:4" x14ac:dyDescent="0.25">
      <c r="A5" s="13">
        <v>42063</v>
      </c>
      <c r="B5" s="1">
        <v>6.2081999999999998E-2</v>
      </c>
      <c r="C5" s="1">
        <v>5.7472000000000002E-2</v>
      </c>
      <c r="D5" s="1">
        <v>1.7E-5</v>
      </c>
    </row>
    <row r="6" spans="1:4" x14ac:dyDescent="0.25">
      <c r="A6" s="13">
        <v>42094</v>
      </c>
      <c r="B6" s="1">
        <v>-3.5890999999999999E-2</v>
      </c>
      <c r="C6" s="1">
        <v>-1.5814000000000002E-2</v>
      </c>
      <c r="D6" s="1">
        <v>2.0000000000000002E-5</v>
      </c>
    </row>
    <row r="7" spans="1:4" x14ac:dyDescent="0.25">
      <c r="A7" s="13">
        <v>42124</v>
      </c>
      <c r="B7" s="1">
        <v>1.1367E-2</v>
      </c>
      <c r="C7" s="1">
        <v>9.5930000000000008E-3</v>
      </c>
      <c r="D7" s="1">
        <v>1.5999999999999999E-5</v>
      </c>
    </row>
    <row r="8" spans="1:4" x14ac:dyDescent="0.25">
      <c r="A8" s="13">
        <v>42155</v>
      </c>
      <c r="B8" s="1">
        <v>2.3616999999999999E-2</v>
      </c>
      <c r="C8" s="1">
        <v>1.2859000000000001E-2</v>
      </c>
      <c r="D8" s="1">
        <v>1.4E-5</v>
      </c>
    </row>
    <row r="9" spans="1:4" x14ac:dyDescent="0.25">
      <c r="A9" s="13">
        <v>42185</v>
      </c>
      <c r="B9" s="1">
        <v>-5.476E-3</v>
      </c>
      <c r="C9" s="1">
        <v>-1.9358E-2</v>
      </c>
      <c r="D9" s="1">
        <v>1.1E-5</v>
      </c>
    </row>
    <row r="10" spans="1:4" x14ac:dyDescent="0.25">
      <c r="A10" s="13">
        <v>42216</v>
      </c>
      <c r="B10" s="1">
        <v>6.8869999999999999E-3</v>
      </c>
      <c r="C10" s="1">
        <v>2.0951000000000001E-2</v>
      </c>
      <c r="D10" s="1">
        <v>9.0000000000000002E-6</v>
      </c>
    </row>
    <row r="11" spans="1:4" x14ac:dyDescent="0.25">
      <c r="A11" s="13">
        <v>42247</v>
      </c>
      <c r="B11" s="1">
        <v>-6.5061999999999995E-2</v>
      </c>
      <c r="C11" s="1">
        <v>-6.0333999999999999E-2</v>
      </c>
      <c r="D11" s="1">
        <v>2.5000000000000001E-5</v>
      </c>
    </row>
    <row r="12" spans="1:4" x14ac:dyDescent="0.25">
      <c r="A12" s="13">
        <v>42277</v>
      </c>
      <c r="B12" s="1">
        <v>-5.8354000000000003E-2</v>
      </c>
      <c r="C12" s="1">
        <v>-2.4743000000000001E-2</v>
      </c>
      <c r="D12" s="1">
        <v>2.5999999999999998E-5</v>
      </c>
    </row>
    <row r="13" spans="1:4" x14ac:dyDescent="0.25">
      <c r="A13" s="13">
        <v>42308</v>
      </c>
      <c r="B13" s="1">
        <v>5.3003000000000002E-2</v>
      </c>
      <c r="C13" s="1">
        <v>8.4353999999999998E-2</v>
      </c>
      <c r="D13" s="1">
        <v>2.4000000000000001E-5</v>
      </c>
    </row>
    <row r="14" spans="1:4" x14ac:dyDescent="0.25">
      <c r="A14" s="13">
        <v>42338</v>
      </c>
      <c r="B14" s="1">
        <v>6.5224000000000004E-2</v>
      </c>
      <c r="C14" s="1">
        <v>2.9740000000000001E-3</v>
      </c>
      <c r="D14" s="1">
        <v>2.8E-5</v>
      </c>
    </row>
    <row r="15" spans="1:4" x14ac:dyDescent="0.25">
      <c r="A15" s="13">
        <v>42369</v>
      </c>
      <c r="B15" s="1">
        <v>-1.4E-2</v>
      </c>
      <c r="C15" s="1">
        <v>-1.5772000000000001E-2</v>
      </c>
      <c r="D15" s="1">
        <v>7.7000000000000001E-5</v>
      </c>
    </row>
    <row r="16" spans="1:4" x14ac:dyDescent="0.25">
      <c r="A16" s="13">
        <v>42400</v>
      </c>
      <c r="B16" s="1">
        <v>-0.17685000000000001</v>
      </c>
      <c r="C16" s="1">
        <v>-4.9624000000000001E-2</v>
      </c>
      <c r="D16" s="1">
        <v>1.25E-4</v>
      </c>
    </row>
    <row r="17" spans="1:4" x14ac:dyDescent="0.25">
      <c r="A17" s="13">
        <v>42429</v>
      </c>
      <c r="B17" s="1">
        <v>4.3880000000000004E-3</v>
      </c>
      <c r="C17" s="1">
        <v>-1.3489999999999999E-3</v>
      </c>
      <c r="D17" s="1">
        <v>1.8000000000000001E-4</v>
      </c>
    </row>
    <row r="18" spans="1:4" x14ac:dyDescent="0.25">
      <c r="A18" s="13">
        <v>42460</v>
      </c>
      <c r="B18" s="1">
        <v>0.12675400000000001</v>
      </c>
      <c r="C18" s="1">
        <v>6.7837999999999996E-2</v>
      </c>
      <c r="D18" s="1">
        <v>2.33E-4</v>
      </c>
    </row>
    <row r="19" spans="1:4" x14ac:dyDescent="0.25">
      <c r="A19" s="13">
        <v>42490</v>
      </c>
      <c r="B19" s="1">
        <v>-6.3600000000000002E-3</v>
      </c>
      <c r="C19" s="1">
        <v>3.8769999999999998E-3</v>
      </c>
      <c r="D19" s="1">
        <v>2.3599999999999999E-4</v>
      </c>
    </row>
    <row r="20" spans="1:4" x14ac:dyDescent="0.25">
      <c r="A20" s="13">
        <v>42521</v>
      </c>
      <c r="B20" s="1">
        <v>3.0745000000000001E-2</v>
      </c>
      <c r="C20" s="1">
        <v>1.7957999999999998E-2</v>
      </c>
      <c r="D20" s="1">
        <v>2.12E-4</v>
      </c>
    </row>
    <row r="21" spans="1:4" x14ac:dyDescent="0.25">
      <c r="A21" s="13">
        <v>42551</v>
      </c>
      <c r="B21" s="1">
        <v>-9.1339999999999998E-3</v>
      </c>
      <c r="C21" s="1">
        <v>2.591E-3</v>
      </c>
      <c r="D21" s="1">
        <v>2.0000000000000001E-4</v>
      </c>
    </row>
    <row r="22" spans="1:4" x14ac:dyDescent="0.25">
      <c r="A22" s="13">
        <v>42582</v>
      </c>
      <c r="B22" s="1">
        <v>7.5416999999999998E-2</v>
      </c>
      <c r="C22" s="1">
        <v>3.6868999999999999E-2</v>
      </c>
      <c r="D22" s="1">
        <v>2.22E-4</v>
      </c>
    </row>
    <row r="23" spans="1:4" x14ac:dyDescent="0.25">
      <c r="A23" s="13">
        <v>42613</v>
      </c>
      <c r="B23" s="1">
        <v>-2.905E-3</v>
      </c>
      <c r="C23" s="1">
        <v>1.4040000000000001E-3</v>
      </c>
      <c r="D23" s="1">
        <v>2.3800000000000001E-4</v>
      </c>
    </row>
    <row r="24" spans="1:4" x14ac:dyDescent="0.25">
      <c r="A24" s="13">
        <v>42643</v>
      </c>
      <c r="B24" s="1">
        <v>7.0422999999999999E-2</v>
      </c>
      <c r="C24" s="1">
        <v>1.8900000000000001E-4</v>
      </c>
      <c r="D24" s="1">
        <v>2.4000000000000001E-4</v>
      </c>
    </row>
    <row r="25" spans="1:4" x14ac:dyDescent="0.25">
      <c r="A25" s="13">
        <v>42674</v>
      </c>
      <c r="B25" s="1">
        <v>-0.105263</v>
      </c>
      <c r="C25" s="1">
        <v>-1.8241E-2</v>
      </c>
      <c r="D25" s="1">
        <v>2.52E-4</v>
      </c>
    </row>
    <row r="26" spans="1:4" x14ac:dyDescent="0.25">
      <c r="A26" s="13">
        <v>42704</v>
      </c>
      <c r="B26" s="1">
        <v>1.5731999999999999E-2</v>
      </c>
      <c r="C26" s="1">
        <v>3.7034999999999998E-2</v>
      </c>
      <c r="D26" s="1">
        <v>2.5799999999999998E-4</v>
      </c>
    </row>
    <row r="27" spans="1:4" x14ac:dyDescent="0.25">
      <c r="A27" s="13">
        <v>42735</v>
      </c>
      <c r="B27" s="1">
        <v>-1.9733000000000001E-2</v>
      </c>
      <c r="C27" s="1">
        <v>1.9765999999999999E-2</v>
      </c>
      <c r="D27" s="1">
        <v>3.1E-4</v>
      </c>
    </row>
    <row r="28" spans="1:4" x14ac:dyDescent="0.25">
      <c r="A28" s="13">
        <v>42766</v>
      </c>
      <c r="B28" s="1">
        <v>0.116574</v>
      </c>
      <c r="C28" s="1">
        <v>1.8966E-2</v>
      </c>
      <c r="D28" s="1">
        <v>3.7100000000000002E-4</v>
      </c>
    </row>
    <row r="29" spans="1:4" x14ac:dyDescent="0.25">
      <c r="A29" s="13">
        <v>42794</v>
      </c>
      <c r="B29" s="1">
        <v>3.7548999999999999E-2</v>
      </c>
      <c r="C29" s="1">
        <v>3.9705999999999998E-2</v>
      </c>
      <c r="D29" s="1">
        <v>3.9100000000000002E-4</v>
      </c>
    </row>
    <row r="30" spans="1:4" x14ac:dyDescent="0.25">
      <c r="A30" s="13">
        <v>42825</v>
      </c>
      <c r="B30" s="1">
        <v>2.7262999999999999E-2</v>
      </c>
      <c r="C30" s="1">
        <v>1.1659999999999999E-3</v>
      </c>
      <c r="D30" s="1">
        <v>4.4799999999999999E-4</v>
      </c>
    </row>
    <row r="31" spans="1:4" x14ac:dyDescent="0.25">
      <c r="A31" s="13">
        <v>42855</v>
      </c>
      <c r="B31" s="1">
        <v>4.9539E-2</v>
      </c>
      <c r="C31" s="1">
        <v>1.027E-2</v>
      </c>
      <c r="D31" s="1">
        <v>5.0799999999999999E-4</v>
      </c>
    </row>
    <row r="32" spans="1:4" x14ac:dyDescent="0.25">
      <c r="A32" s="13">
        <v>42886</v>
      </c>
      <c r="B32" s="1">
        <v>8.3434999999999995E-2</v>
      </c>
      <c r="C32" s="1">
        <v>1.4073E-2</v>
      </c>
      <c r="D32" s="1">
        <v>6.0599999999999998E-4</v>
      </c>
    </row>
    <row r="33" spans="1:4" x14ac:dyDescent="0.25">
      <c r="A33" s="13">
        <v>42916</v>
      </c>
      <c r="B33" s="1">
        <v>2.8538000000000001E-2</v>
      </c>
      <c r="C33" s="1">
        <v>6.2420000000000002E-3</v>
      </c>
      <c r="D33" s="1">
        <v>7.0799999999999997E-4</v>
      </c>
    </row>
    <row r="34" spans="1:4" x14ac:dyDescent="0.25">
      <c r="A34" s="13">
        <v>42947</v>
      </c>
      <c r="B34" s="1">
        <v>3.5543999999999999E-2</v>
      </c>
      <c r="C34" s="1">
        <v>2.0563000000000001E-2</v>
      </c>
      <c r="D34" s="1">
        <v>8.0500000000000005E-4</v>
      </c>
    </row>
    <row r="35" spans="1:4" x14ac:dyDescent="0.25">
      <c r="A35" s="13">
        <v>42978</v>
      </c>
      <c r="B35" s="1">
        <v>0.113404</v>
      </c>
      <c r="C35" s="1">
        <v>3.0609999999999999E-3</v>
      </c>
      <c r="D35" s="1">
        <v>8.8400000000000002E-4</v>
      </c>
    </row>
    <row r="36" spans="1:4" x14ac:dyDescent="0.25">
      <c r="A36" s="13">
        <v>43008</v>
      </c>
      <c r="B36" s="1">
        <v>1.3252999999999999E-2</v>
      </c>
      <c r="C36" s="1">
        <v>2.0628000000000001E-2</v>
      </c>
      <c r="D36" s="1">
        <v>8.6200000000000003E-4</v>
      </c>
    </row>
    <row r="37" spans="1:4" x14ac:dyDescent="0.25">
      <c r="A37" s="13">
        <v>43039</v>
      </c>
      <c r="B37" s="1">
        <v>4.0978000000000001E-2</v>
      </c>
      <c r="C37" s="1">
        <v>2.3335000000000002E-2</v>
      </c>
      <c r="D37" s="1">
        <v>9.0300000000000005E-4</v>
      </c>
    </row>
    <row r="38" spans="1:4" x14ac:dyDescent="0.25">
      <c r="A38" s="13">
        <v>43069</v>
      </c>
      <c r="B38" s="1">
        <v>5.5895E-2</v>
      </c>
      <c r="C38" s="1">
        <v>3.0669999999999999E-2</v>
      </c>
      <c r="D38" s="1">
        <v>8.9300000000000002E-4</v>
      </c>
    </row>
    <row r="39" spans="1:4" x14ac:dyDescent="0.25">
      <c r="A39" s="13">
        <v>43100</v>
      </c>
      <c r="B39" s="1">
        <v>1.9743E-2</v>
      </c>
      <c r="C39" s="1">
        <v>1.1119E-2</v>
      </c>
      <c r="D39" s="1">
        <v>1.0009999999999999E-3</v>
      </c>
    </row>
    <row r="40" spans="1:4" x14ac:dyDescent="0.25">
      <c r="A40" s="13">
        <v>43131</v>
      </c>
      <c r="B40" s="1">
        <v>0.110359</v>
      </c>
      <c r="C40" s="1">
        <v>5.7253999999999999E-2</v>
      </c>
      <c r="D40" s="1">
        <v>1.1000000000000001E-3</v>
      </c>
    </row>
    <row r="41" spans="1:4" x14ac:dyDescent="0.25">
      <c r="A41" s="13">
        <v>43159</v>
      </c>
      <c r="B41" s="1">
        <v>1.05E-4</v>
      </c>
      <c r="C41" s="1">
        <v>-3.6857000000000001E-2</v>
      </c>
      <c r="D41" s="1">
        <v>1.0759999999999999E-3</v>
      </c>
    </row>
    <row r="42" spans="1:4" x14ac:dyDescent="0.25">
      <c r="A42" s="13">
        <v>43190</v>
      </c>
      <c r="B42" s="1">
        <v>-4.3367000000000003E-2</v>
      </c>
      <c r="C42" s="1">
        <v>-2.5413000000000002E-2</v>
      </c>
      <c r="D42" s="1">
        <v>1.305E-3</v>
      </c>
    </row>
    <row r="43" spans="1:4" x14ac:dyDescent="0.25">
      <c r="A43" s="13">
        <v>43220</v>
      </c>
      <c r="B43" s="1">
        <v>-9.5200000000000005E-4</v>
      </c>
      <c r="C43" s="1">
        <v>3.8370000000000001E-3</v>
      </c>
      <c r="D43" s="1">
        <v>1.3489999999999999E-3</v>
      </c>
    </row>
    <row r="44" spans="1:4" x14ac:dyDescent="0.25">
      <c r="A44" s="13">
        <v>43251</v>
      </c>
      <c r="B44" s="1">
        <v>0.106167</v>
      </c>
      <c r="C44" s="1">
        <v>2.4081999999999999E-2</v>
      </c>
      <c r="D44" s="1">
        <v>1.493E-3</v>
      </c>
    </row>
    <row r="45" spans="1:4" x14ac:dyDescent="0.25">
      <c r="A45" s="13">
        <v>43281</v>
      </c>
      <c r="B45" s="1">
        <v>2.6703999999999999E-2</v>
      </c>
      <c r="C45" s="1">
        <v>6.1549999999999999E-3</v>
      </c>
      <c r="D45" s="1">
        <v>1.513E-3</v>
      </c>
    </row>
    <row r="46" spans="1:4" x14ac:dyDescent="0.25">
      <c r="A46" s="13">
        <v>43312</v>
      </c>
      <c r="B46" s="1">
        <v>-5.5979999999999997E-3</v>
      </c>
      <c r="C46" s="1">
        <v>3.7213999999999997E-2</v>
      </c>
      <c r="D46" s="1">
        <v>1.622E-3</v>
      </c>
    </row>
    <row r="47" spans="1:4" x14ac:dyDescent="0.25">
      <c r="A47" s="13">
        <v>43343</v>
      </c>
      <c r="B47" s="1">
        <v>0.111303</v>
      </c>
      <c r="C47" s="1">
        <v>3.2585000000000003E-2</v>
      </c>
      <c r="D47" s="1">
        <v>1.686E-3</v>
      </c>
    </row>
    <row r="48" spans="1:4" x14ac:dyDescent="0.25">
      <c r="A48" s="13">
        <v>43373</v>
      </c>
      <c r="B48" s="1">
        <v>-4.4847999999999999E-2</v>
      </c>
      <c r="C48" s="1">
        <v>5.692E-3</v>
      </c>
      <c r="D48" s="1">
        <v>1.684E-3</v>
      </c>
    </row>
    <row r="49" spans="1:4" x14ac:dyDescent="0.25">
      <c r="A49" s="13">
        <v>43404</v>
      </c>
      <c r="B49" s="1">
        <v>-0.111167</v>
      </c>
      <c r="C49" s="1">
        <v>-6.8349999999999994E-2</v>
      </c>
      <c r="D49" s="1">
        <v>1.82E-3</v>
      </c>
    </row>
    <row r="50" spans="1:4" x14ac:dyDescent="0.25">
      <c r="A50" s="13">
        <v>43434</v>
      </c>
      <c r="B50" s="1">
        <v>3.6809000000000001E-2</v>
      </c>
      <c r="C50" s="1">
        <v>2.0378E-2</v>
      </c>
      <c r="D50" s="1">
        <v>1.8439999999999999E-3</v>
      </c>
    </row>
    <row r="51" spans="1:4" x14ac:dyDescent="0.25">
      <c r="A51" s="13">
        <v>43465</v>
      </c>
      <c r="B51" s="1">
        <v>-0.138261</v>
      </c>
      <c r="C51" s="1">
        <v>-9.0290999999999996E-2</v>
      </c>
      <c r="D51" s="1">
        <v>1.98E-3</v>
      </c>
    </row>
    <row r="52" spans="1:4" x14ac:dyDescent="0.25">
      <c r="A52" s="13">
        <v>43496</v>
      </c>
      <c r="B52" s="1">
        <v>0.15601699999999999</v>
      </c>
      <c r="C52" s="1">
        <v>8.0135999999999999E-2</v>
      </c>
      <c r="D52" s="1">
        <v>2.0309999999999998E-3</v>
      </c>
    </row>
    <row r="53" spans="1:4" x14ac:dyDescent="0.25">
      <c r="A53" s="13">
        <v>43524</v>
      </c>
      <c r="B53" s="1">
        <v>8.1118999999999997E-2</v>
      </c>
      <c r="C53" s="1">
        <v>3.2107999999999998E-2</v>
      </c>
      <c r="D53" s="1">
        <v>1.8519999999999999E-3</v>
      </c>
    </row>
    <row r="54" spans="1:4" x14ac:dyDescent="0.25">
      <c r="A54" s="13">
        <v>43555</v>
      </c>
      <c r="B54" s="1">
        <v>4.1609999999999998E-3</v>
      </c>
      <c r="C54" s="1">
        <v>1.9432000000000001E-2</v>
      </c>
      <c r="D54" s="1">
        <v>2.0730000000000002E-3</v>
      </c>
    </row>
    <row r="55" spans="1:4" x14ac:dyDescent="0.25">
      <c r="A55" s="13">
        <v>43585</v>
      </c>
      <c r="B55" s="1">
        <v>1.9001000000000001E-2</v>
      </c>
      <c r="C55" s="1">
        <v>4.0489999999999998E-2</v>
      </c>
      <c r="D55" s="1">
        <v>2.013E-3</v>
      </c>
    </row>
    <row r="56" spans="1:4" x14ac:dyDescent="0.25">
      <c r="A56" s="13">
        <v>43616</v>
      </c>
      <c r="B56" s="1">
        <v>-0.13212499999999999</v>
      </c>
      <c r="C56" s="1">
        <v>-6.3547999999999993E-2</v>
      </c>
      <c r="D56" s="1">
        <v>2.0899999999999998E-3</v>
      </c>
    </row>
    <row r="57" spans="1:4" x14ac:dyDescent="0.25">
      <c r="A57" s="13">
        <v>43646</v>
      </c>
      <c r="B57" s="1">
        <v>0.17175699999999999</v>
      </c>
      <c r="C57" s="1">
        <v>7.0475999999999997E-2</v>
      </c>
      <c r="D57" s="1">
        <v>2.0179999999999998E-3</v>
      </c>
    </row>
    <row r="58" spans="1:4" x14ac:dyDescent="0.25">
      <c r="A58" s="13">
        <v>43677</v>
      </c>
      <c r="B58" s="1">
        <v>7.3569999999999998E-3</v>
      </c>
      <c r="C58" s="1">
        <v>1.4371999999999999E-2</v>
      </c>
      <c r="D58" s="1">
        <v>1.9989999999999999E-3</v>
      </c>
    </row>
    <row r="59" spans="1:4" x14ac:dyDescent="0.25">
      <c r="A59" s="13">
        <v>43708</v>
      </c>
      <c r="B59" s="1">
        <v>-8.3866999999999997E-2</v>
      </c>
      <c r="C59" s="1">
        <v>-1.584E-2</v>
      </c>
      <c r="D59" s="1">
        <v>1.9E-3</v>
      </c>
    </row>
    <row r="60" spans="1:4" x14ac:dyDescent="0.25">
      <c r="A60" s="13">
        <v>43738</v>
      </c>
      <c r="B60" s="1">
        <v>-3.1453000000000002E-2</v>
      </c>
      <c r="C60" s="1">
        <v>1.8710000000000001E-2</v>
      </c>
      <c r="D60" s="1">
        <v>1.7160000000000001E-3</v>
      </c>
    </row>
    <row r="61" spans="1:4" x14ac:dyDescent="0.25">
      <c r="A61" s="13">
        <v>43769</v>
      </c>
      <c r="B61" s="1">
        <v>2.4819000000000001E-2</v>
      </c>
      <c r="C61" s="1">
        <v>2.1659999999999999E-2</v>
      </c>
      <c r="D61" s="1">
        <v>1.6930000000000001E-3</v>
      </c>
    </row>
    <row r="62" spans="1:4" x14ac:dyDescent="0.25">
      <c r="A62" s="13">
        <v>43799</v>
      </c>
      <c r="B62" s="1">
        <v>0.13744700000000001</v>
      </c>
      <c r="C62" s="1">
        <v>3.6298999999999998E-2</v>
      </c>
      <c r="D62" s="1">
        <v>1.4890000000000001E-3</v>
      </c>
    </row>
    <row r="63" spans="1:4" x14ac:dyDescent="0.25">
      <c r="A63" s="13">
        <v>43830</v>
      </c>
      <c r="B63" s="1">
        <v>-5.5880000000000001E-3</v>
      </c>
      <c r="C63" s="1">
        <v>3.0182E-2</v>
      </c>
      <c r="D63" s="1">
        <v>1.4239999999999999E-3</v>
      </c>
    </row>
    <row r="64" spans="1:4" x14ac:dyDescent="0.25">
      <c r="A64" s="13">
        <v>43861</v>
      </c>
      <c r="B64" s="1">
        <v>2.6564000000000001E-2</v>
      </c>
      <c r="C64" s="1">
        <v>-3.9199999999999999E-4</v>
      </c>
      <c r="D64" s="1">
        <v>1.3470000000000001E-3</v>
      </c>
    </row>
    <row r="65" spans="1:4" x14ac:dyDescent="0.25">
      <c r="A65" s="13">
        <v>43890</v>
      </c>
      <c r="B65" s="1">
        <v>1.5977000000000002E-2</v>
      </c>
      <c r="C65" s="1">
        <v>-8.2319000000000003E-2</v>
      </c>
      <c r="D65" s="1">
        <v>1.263E-3</v>
      </c>
    </row>
    <row r="66" spans="1:4" x14ac:dyDescent="0.25">
      <c r="A66" s="13">
        <v>43921</v>
      </c>
      <c r="B66" s="1">
        <v>-0.16294900000000001</v>
      </c>
      <c r="C66" s="1">
        <v>-0.123513</v>
      </c>
      <c r="D66" s="1">
        <v>1.263E-3</v>
      </c>
    </row>
    <row r="67" spans="1:4" x14ac:dyDescent="0.25">
      <c r="A67" s="13">
        <v>43951</v>
      </c>
      <c r="B67" s="1">
        <v>0.23979200000000001</v>
      </c>
      <c r="C67" s="1">
        <v>0.128194</v>
      </c>
      <c r="D67" s="1">
        <v>8.1999999999999998E-4</v>
      </c>
    </row>
    <row r="68" spans="1:4" x14ac:dyDescent="0.25">
      <c r="A68" s="13">
        <v>43982</v>
      </c>
      <c r="B68" s="1">
        <v>0.14254800000000001</v>
      </c>
      <c r="C68" s="1">
        <v>4.7627999999999997E-2</v>
      </c>
      <c r="D68" s="1">
        <v>4.3100000000000001E-4</v>
      </c>
    </row>
    <row r="69" spans="1:4" x14ac:dyDescent="0.25">
      <c r="A69" s="13">
        <v>44012</v>
      </c>
      <c r="B69" s="1">
        <v>0.13078899999999999</v>
      </c>
      <c r="C69" s="1">
        <v>1.9886999999999998E-2</v>
      </c>
      <c r="D69" s="1">
        <v>9.8999999999999994E-5</v>
      </c>
    </row>
    <row r="70" spans="1:4" x14ac:dyDescent="0.25">
      <c r="A70" s="13">
        <v>44043</v>
      </c>
      <c r="B70" s="1">
        <v>0.126748</v>
      </c>
      <c r="C70" s="1">
        <v>5.6384999999999998E-2</v>
      </c>
      <c r="D70" s="1">
        <v>1.1400000000000001E-4</v>
      </c>
    </row>
    <row r="71" spans="1:4" x14ac:dyDescent="0.25">
      <c r="A71" s="13">
        <v>44074</v>
      </c>
      <c r="B71" s="1">
        <v>0.15192900000000001</v>
      </c>
      <c r="C71" s="1">
        <v>7.1881E-2</v>
      </c>
      <c r="D71" s="1">
        <v>1.11E-4</v>
      </c>
    </row>
    <row r="72" spans="1:4" x14ac:dyDescent="0.25">
      <c r="A72" s="13">
        <v>44104</v>
      </c>
      <c r="B72" s="1">
        <v>-3.3313000000000002E-2</v>
      </c>
      <c r="C72" s="1">
        <v>-3.7997000000000003E-2</v>
      </c>
      <c r="D72" s="1">
        <v>9.7E-5</v>
      </c>
    </row>
    <row r="73" spans="1:4" x14ac:dyDescent="0.25">
      <c r="A73" s="13">
        <v>44135</v>
      </c>
      <c r="B73" s="1">
        <v>-1.0606000000000001E-2</v>
      </c>
      <c r="C73" s="1">
        <v>-2.6594E-2</v>
      </c>
      <c r="D73" s="1">
        <v>8.6000000000000003E-5</v>
      </c>
    </row>
    <row r="74" spans="1:4" x14ac:dyDescent="0.25">
      <c r="A74" s="13">
        <v>44165</v>
      </c>
      <c r="B74" s="1">
        <v>0.23618600000000001</v>
      </c>
      <c r="C74" s="1">
        <v>0.10946400000000001</v>
      </c>
      <c r="D74" s="1">
        <v>8.2000000000000001E-5</v>
      </c>
    </row>
    <row r="75" spans="1:4" x14ac:dyDescent="0.25">
      <c r="A75" s="13">
        <v>44196</v>
      </c>
      <c r="B75" s="1">
        <v>0.125832</v>
      </c>
      <c r="C75" s="1">
        <v>3.8448000000000003E-2</v>
      </c>
      <c r="D75" s="1">
        <v>7.7000000000000001E-5</v>
      </c>
    </row>
    <row r="76" spans="1:4" x14ac:dyDescent="0.25">
      <c r="A76" s="13">
        <v>44227</v>
      </c>
      <c r="B76" s="1">
        <v>0.104229</v>
      </c>
      <c r="C76" s="1">
        <v>-1.0096000000000001E-2</v>
      </c>
      <c r="D76" s="1">
        <v>7.2999999999999999E-5</v>
      </c>
    </row>
    <row r="77" spans="1:4" x14ac:dyDescent="0.25">
      <c r="A77" s="13">
        <v>44255</v>
      </c>
      <c r="B77" s="1">
        <v>-5.0382000000000003E-2</v>
      </c>
      <c r="C77" s="1">
        <v>2.7574999999999999E-2</v>
      </c>
      <c r="D77" s="1">
        <v>5.7000000000000003E-5</v>
      </c>
    </row>
    <row r="78" spans="1:4" x14ac:dyDescent="0.25">
      <c r="A78" s="13">
        <v>44286</v>
      </c>
      <c r="B78" s="1">
        <v>-8.3123000000000002E-2</v>
      </c>
      <c r="C78" s="1">
        <v>4.3796000000000002E-2</v>
      </c>
      <c r="D78" s="1">
        <v>5.1E-5</v>
      </c>
    </row>
    <row r="79" spans="1:4" x14ac:dyDescent="0.25">
      <c r="A79" s="13">
        <v>44316</v>
      </c>
      <c r="B79" s="1">
        <v>9.3769999999999999E-3</v>
      </c>
      <c r="C79" s="1">
        <v>5.3369E-2</v>
      </c>
      <c r="D79" s="1">
        <v>3.4E-5</v>
      </c>
    </row>
    <row r="80" spans="1:4" x14ac:dyDescent="0.25">
      <c r="A80" s="13">
        <v>44347</v>
      </c>
      <c r="B80" s="1">
        <v>-7.2100999999999998E-2</v>
      </c>
      <c r="C80" s="1">
        <v>6.9839999999999998E-3</v>
      </c>
      <c r="D80" s="1">
        <v>2.3E-5</v>
      </c>
    </row>
    <row r="81" spans="1:4" x14ac:dyDescent="0.25">
      <c r="A81" s="13">
        <v>44377</v>
      </c>
      <c r="B81" s="1">
        <v>0.169185</v>
      </c>
      <c r="C81" s="1">
        <v>2.3345000000000001E-2</v>
      </c>
      <c r="D81" s="1">
        <v>1.5E-5</v>
      </c>
    </row>
    <row r="82" spans="1:4" x14ac:dyDescent="0.25">
      <c r="A82" s="13">
        <v>44408</v>
      </c>
      <c r="B82" s="1">
        <v>-8.3597000000000005E-2</v>
      </c>
      <c r="C82" s="1">
        <v>2.3754999999999998E-2</v>
      </c>
      <c r="D82" s="1">
        <v>2.1999999999999999E-5</v>
      </c>
    </row>
    <row r="83" spans="1:4" x14ac:dyDescent="0.25">
      <c r="A83" s="13">
        <v>44439</v>
      </c>
      <c r="B83" s="1">
        <v>1.9497E-2</v>
      </c>
      <c r="C83" s="1">
        <v>3.0405999999999999E-2</v>
      </c>
      <c r="D83" s="1">
        <v>3.1000000000000001E-5</v>
      </c>
    </row>
    <row r="84" spans="1:4" x14ac:dyDescent="0.25">
      <c r="A84" s="13">
        <v>44469</v>
      </c>
      <c r="B84" s="1">
        <v>-9.3461000000000002E-2</v>
      </c>
      <c r="C84" s="1">
        <v>-4.6510000000000003E-2</v>
      </c>
      <c r="D84" s="1">
        <v>3.8000000000000002E-5</v>
      </c>
    </row>
    <row r="85" spans="1:4" x14ac:dyDescent="0.25">
      <c r="A85" s="13">
        <v>44500</v>
      </c>
      <c r="B85" s="1">
        <v>9.6230999999999997E-2</v>
      </c>
      <c r="C85" s="1">
        <v>7.0061999999999999E-2</v>
      </c>
      <c r="D85" s="1">
        <v>3.6000000000000001E-5</v>
      </c>
    </row>
    <row r="86" spans="1:4" x14ac:dyDescent="0.25">
      <c r="A86" s="13">
        <v>44530</v>
      </c>
      <c r="B86" s="1">
        <v>-0.127833</v>
      </c>
      <c r="C86" s="1">
        <v>-6.9290000000000003E-3</v>
      </c>
      <c r="D86" s="1">
        <v>3.8000000000000002E-5</v>
      </c>
    </row>
    <row r="87" spans="1:4" x14ac:dyDescent="0.25">
      <c r="A87" s="13">
        <v>44561</v>
      </c>
      <c r="B87" s="1">
        <v>-9.8793000000000006E-2</v>
      </c>
      <c r="C87" s="1">
        <v>4.4816000000000002E-2</v>
      </c>
      <c r="D87" s="1">
        <v>4.1999999999999998E-5</v>
      </c>
    </row>
    <row r="88" spans="1:4" x14ac:dyDescent="0.25">
      <c r="A88" s="13">
        <v>44592</v>
      </c>
      <c r="B88" s="1">
        <v>-0.203372</v>
      </c>
      <c r="C88" s="1">
        <v>-5.1747000000000001E-2</v>
      </c>
      <c r="D88" s="1">
        <v>4.6999999999999997E-5</v>
      </c>
    </row>
    <row r="89" spans="1:4" x14ac:dyDescent="0.25">
      <c r="A89" s="13">
        <v>44620</v>
      </c>
      <c r="B89" s="1">
        <v>-6.3365000000000005E-2</v>
      </c>
      <c r="C89" s="1">
        <v>-2.9940999999999999E-2</v>
      </c>
      <c r="D89" s="1">
        <v>7.4999999999999993E-5</v>
      </c>
    </row>
    <row r="90" spans="1:4" x14ac:dyDescent="0.25">
      <c r="A90" s="13">
        <v>44651</v>
      </c>
      <c r="B90" s="1">
        <v>-5.9426E-2</v>
      </c>
      <c r="C90" s="1">
        <v>3.7130000000000003E-2</v>
      </c>
      <c r="D90" s="1">
        <v>1.5899999999999999E-4</v>
      </c>
    </row>
    <row r="91" spans="1:4" x14ac:dyDescent="0.25">
      <c r="A91" s="13">
        <v>44681</v>
      </c>
      <c r="B91" s="1">
        <v>-0.287325</v>
      </c>
      <c r="C91" s="1">
        <v>-8.7202000000000002E-2</v>
      </c>
      <c r="D91" s="1">
        <v>2.8299999999999999E-4</v>
      </c>
    </row>
    <row r="92" spans="1:4" x14ac:dyDescent="0.25">
      <c r="A92" s="13">
        <v>44712</v>
      </c>
      <c r="B92" s="1">
        <v>-6.6289000000000001E-2</v>
      </c>
      <c r="C92" s="1">
        <v>1.835E-3</v>
      </c>
      <c r="D92" s="1">
        <v>4.8299999999999998E-4</v>
      </c>
    </row>
    <row r="93" spans="1:4" x14ac:dyDescent="0.25">
      <c r="A93" s="13">
        <v>44742</v>
      </c>
      <c r="B93" s="1">
        <v>-9.5007999999999995E-2</v>
      </c>
      <c r="C93" s="1">
        <v>-8.2544000000000006E-2</v>
      </c>
      <c r="D93" s="1">
        <v>6.7500000000000004E-4</v>
      </c>
    </row>
    <row r="94" spans="1:4" x14ac:dyDescent="0.25">
      <c r="A94" s="13">
        <v>44773</v>
      </c>
      <c r="B94" s="1">
        <v>0.12728400000000001</v>
      </c>
      <c r="C94" s="1">
        <v>9.2203999999999994E-2</v>
      </c>
      <c r="D94" s="1">
        <v>1.0369999999999999E-3</v>
      </c>
    </row>
    <row r="95" spans="1:4" x14ac:dyDescent="0.25">
      <c r="A95" s="13">
        <v>44804</v>
      </c>
      <c r="B95" s="1">
        <v>-7.2370000000000004E-2</v>
      </c>
      <c r="C95" s="1">
        <v>-4.0781999999999999E-2</v>
      </c>
      <c r="D95" s="1">
        <v>1.487E-3</v>
      </c>
    </row>
    <row r="96" spans="1:4" x14ac:dyDescent="0.25">
      <c r="A96" s="13">
        <v>44834</v>
      </c>
      <c r="B96" s="1">
        <v>-9.9265999999999993E-2</v>
      </c>
      <c r="C96" s="1">
        <v>-9.2099E-2</v>
      </c>
      <c r="D96" s="1">
        <v>1.9589999999999998E-3</v>
      </c>
    </row>
    <row r="97" spans="1:4" x14ac:dyDescent="0.25">
      <c r="A97" s="13">
        <v>44865</v>
      </c>
      <c r="B97" s="1">
        <v>1.5473000000000001E-2</v>
      </c>
      <c r="C97" s="1">
        <v>8.0961000000000005E-2</v>
      </c>
      <c r="D97" s="1">
        <v>2.477E-3</v>
      </c>
    </row>
    <row r="98" spans="1:4" x14ac:dyDescent="0.25">
      <c r="A98" s="13">
        <v>44895</v>
      </c>
      <c r="B98" s="1">
        <v>-2.0698000000000001E-2</v>
      </c>
      <c r="C98" s="1">
        <v>5.5884000000000003E-2</v>
      </c>
      <c r="D98" s="1">
        <v>2.8660000000000001E-3</v>
      </c>
    </row>
    <row r="99" spans="1:4" x14ac:dyDescent="0.25">
      <c r="A99" s="13">
        <v>44926</v>
      </c>
      <c r="B99" s="1">
        <v>-0.16577800000000001</v>
      </c>
      <c r="C99" s="1">
        <v>-5.7613999999999999E-2</v>
      </c>
      <c r="D99" s="1">
        <v>3.375E-3</v>
      </c>
    </row>
    <row r="100" spans="1:4" x14ac:dyDescent="0.25">
      <c r="A100" s="13">
        <v>44957</v>
      </c>
      <c r="B100" s="1">
        <v>0.27892099999999997</v>
      </c>
      <c r="C100" s="1">
        <v>6.2834000000000001E-2</v>
      </c>
      <c r="D100" s="1">
        <v>3.6909999999999998E-3</v>
      </c>
    </row>
    <row r="101" spans="1:4" x14ac:dyDescent="0.25">
      <c r="A101" s="13">
        <v>44985</v>
      </c>
      <c r="B101" s="1">
        <v>-9.7079999999999996E-3</v>
      </c>
      <c r="C101" s="1">
        <v>-2.4399000000000001E-2</v>
      </c>
      <c r="D101" s="1">
        <v>3.4880000000000002E-3</v>
      </c>
    </row>
    <row r="102" spans="1:4" x14ac:dyDescent="0.25">
      <c r="A102" s="13">
        <v>45016</v>
      </c>
      <c r="B102" s="1">
        <v>1.9807000000000002E-2</v>
      </c>
      <c r="C102" s="1">
        <v>3.6713999999999997E-2</v>
      </c>
      <c r="D102" s="1">
        <v>3.9979999999999998E-3</v>
      </c>
    </row>
    <row r="103" spans="1:4" x14ac:dyDescent="0.25">
      <c r="A103" s="13">
        <v>45046</v>
      </c>
      <c r="B103" s="1">
        <v>-0.108823</v>
      </c>
      <c r="C103" s="1">
        <v>1.5608E-2</v>
      </c>
      <c r="D103" s="1">
        <v>3.98E-3</v>
      </c>
    </row>
    <row r="104" spans="1:4" x14ac:dyDescent="0.25">
      <c r="A104" s="13">
        <v>45077</v>
      </c>
      <c r="B104" s="1">
        <v>0.12650600000000001</v>
      </c>
      <c r="C104" s="1">
        <v>4.3470000000000002E-3</v>
      </c>
      <c r="D104" s="1">
        <v>4.2319999999999997E-3</v>
      </c>
    </row>
    <row r="105" spans="1:4" x14ac:dyDescent="0.25">
      <c r="A105" s="13">
        <v>45107</v>
      </c>
      <c r="B105" s="1">
        <v>8.9802999999999994E-2</v>
      </c>
      <c r="C105" s="1">
        <v>6.6074999999999995E-2</v>
      </c>
      <c r="D105" s="1">
        <v>4.2579999999999996E-3</v>
      </c>
    </row>
    <row r="106" spans="1:4" x14ac:dyDescent="0.25">
      <c r="A106" s="13">
        <v>45138</v>
      </c>
      <c r="B106" s="1">
        <v>0.142488</v>
      </c>
      <c r="C106" s="1">
        <v>3.2125000000000001E-2</v>
      </c>
      <c r="D106" s="1">
        <v>4.5560000000000002E-3</v>
      </c>
    </row>
    <row r="107" spans="1:4" x14ac:dyDescent="0.25">
      <c r="A107" s="13">
        <v>45169</v>
      </c>
      <c r="B107" s="1">
        <v>-0.13174</v>
      </c>
      <c r="C107" s="1">
        <v>-1.5921999999999999E-2</v>
      </c>
      <c r="D107" s="1">
        <v>4.6499999999999996E-3</v>
      </c>
    </row>
    <row r="108" spans="1:4" x14ac:dyDescent="0.25">
      <c r="A108" s="13">
        <v>45199</v>
      </c>
      <c r="B108" s="1">
        <v>-9.4247999999999998E-2</v>
      </c>
      <c r="C108" s="1">
        <v>-4.7677999999999998E-2</v>
      </c>
      <c r="D108" s="1">
        <v>4.5149999999999999E-3</v>
      </c>
    </row>
    <row r="109" spans="1:4" x14ac:dyDescent="0.25">
      <c r="A109" s="13">
        <v>45230</v>
      </c>
      <c r="B109" s="1">
        <v>-0.114846</v>
      </c>
      <c r="C109" s="1">
        <v>-2.1027000000000001E-2</v>
      </c>
      <c r="D109" s="1">
        <v>4.7109999999999999E-3</v>
      </c>
    </row>
    <row r="110" spans="1:4" x14ac:dyDescent="0.25">
      <c r="A110" s="13">
        <v>45260</v>
      </c>
      <c r="B110" s="1">
        <v>0.31514199999999998</v>
      </c>
      <c r="C110" s="1">
        <v>9.1325000000000003E-2</v>
      </c>
      <c r="D110" s="1">
        <v>4.5719999999999997E-3</v>
      </c>
    </row>
    <row r="111" spans="1:4" x14ac:dyDescent="0.25">
      <c r="A111" s="13">
        <v>45291</v>
      </c>
      <c r="B111" s="1">
        <v>0.13659499999999999</v>
      </c>
      <c r="C111" s="1">
        <v>4.5430999999999999E-2</v>
      </c>
      <c r="D111" s="1">
        <v>4.705E-3</v>
      </c>
    </row>
    <row r="112" spans="1:4" x14ac:dyDescent="0.25">
      <c r="A112" s="13">
        <v>45322</v>
      </c>
      <c r="B112" s="1">
        <v>-0.13233500000000001</v>
      </c>
      <c r="C112" s="1">
        <v>1.6803999999999999E-2</v>
      </c>
      <c r="D112" s="1">
        <v>4.6709999999999998E-3</v>
      </c>
    </row>
    <row r="113" spans="1:4" x14ac:dyDescent="0.25">
      <c r="A113" s="13">
        <v>45351</v>
      </c>
      <c r="B113" s="1">
        <v>0.129165</v>
      </c>
      <c r="C113" s="1">
        <v>5.3395999999999999E-2</v>
      </c>
      <c r="D113" s="1">
        <v>4.3429999999999996E-3</v>
      </c>
    </row>
    <row r="114" spans="1:4" x14ac:dyDescent="0.25">
      <c r="A114" s="13">
        <v>45382</v>
      </c>
      <c r="B114" s="1">
        <v>-2.2289E-2</v>
      </c>
      <c r="C114" s="1">
        <v>3.2175000000000002E-2</v>
      </c>
      <c r="D114" s="1">
        <v>4.6350000000000002E-3</v>
      </c>
    </row>
    <row r="115" spans="1:4" x14ac:dyDescent="0.25">
      <c r="A115" s="13">
        <v>45412</v>
      </c>
      <c r="B115" s="1">
        <v>-0.13184199999999999</v>
      </c>
      <c r="C115" s="1">
        <v>-4.0844999999999999E-2</v>
      </c>
      <c r="D115" s="1">
        <v>4.4889999999999999E-3</v>
      </c>
    </row>
    <row r="116" spans="1:4" x14ac:dyDescent="0.25">
      <c r="A116" s="13">
        <v>45443</v>
      </c>
      <c r="B116" s="1">
        <v>-2.3324999999999999E-2</v>
      </c>
      <c r="C116" s="1">
        <v>4.9584999999999997E-2</v>
      </c>
      <c r="D116" s="1">
        <v>4.6480000000000002E-3</v>
      </c>
    </row>
    <row r="117" spans="1:4" x14ac:dyDescent="0.25">
      <c r="A117" s="13">
        <v>45473</v>
      </c>
      <c r="B117" s="1">
        <v>3.4585999999999999E-2</v>
      </c>
      <c r="C117" s="1">
        <v>3.5881999999999997E-2</v>
      </c>
      <c r="D117" s="1">
        <v>4.5009999999999998E-3</v>
      </c>
    </row>
    <row r="118" spans="1:4" x14ac:dyDescent="0.25">
      <c r="A118" s="13">
        <v>45504</v>
      </c>
      <c r="B118" s="1">
        <v>3.4561000000000001E-2</v>
      </c>
      <c r="C118" s="1">
        <v>1.2172000000000001E-2</v>
      </c>
      <c r="D118" s="1">
        <v>4.6499999999999996E-3</v>
      </c>
    </row>
    <row r="119" spans="1:4" x14ac:dyDescent="0.25">
      <c r="A119" s="13">
        <v>45535</v>
      </c>
      <c r="B119" s="1">
        <v>-1.5066E-2</v>
      </c>
      <c r="C119" s="1">
        <v>2.4257000000000001E-2</v>
      </c>
      <c r="D119" s="1">
        <v>4.6119999999999998E-3</v>
      </c>
    </row>
    <row r="120" spans="1:4" x14ac:dyDescent="0.25">
      <c r="A120" s="13">
        <v>45565</v>
      </c>
      <c r="B120" s="1">
        <v>5.9804999999999997E-2</v>
      </c>
      <c r="C120" s="1">
        <v>2.1357000000000001E-2</v>
      </c>
      <c r="D120" s="1">
        <v>4.3829999999999997E-3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1B9E6-53CA-40F2-B1B5-D8EA2EB5BD60}">
  <dimension ref="A1:M68"/>
  <sheetViews>
    <sheetView tabSelected="1" workbookViewId="0">
      <pane ySplit="1" topLeftCell="A53" activePane="bottomLeft" state="frozen"/>
      <selection pane="bottomLeft" activeCell="N18" sqref="N18"/>
    </sheetView>
  </sheetViews>
  <sheetFormatPr defaultColWidth="8.88671875" defaultRowHeight="12" x14ac:dyDescent="0.25"/>
  <cols>
    <col min="1" max="1" width="3.88671875" style="23" bestFit="1" customWidth="1"/>
    <col min="2" max="2" width="9.6640625" style="2" bestFit="1" customWidth="1"/>
    <col min="3" max="3" width="29.6640625" style="2" bestFit="1" customWidth="1"/>
    <col min="4" max="4" width="10.77734375" style="2" bestFit="1" customWidth="1"/>
    <col min="5" max="5" width="9.44140625" style="2" customWidth="1"/>
    <col min="6" max="6" width="9.6640625" style="2" bestFit="1" customWidth="1"/>
    <col min="7" max="7" width="8.5546875" style="2" hidden="1" customWidth="1"/>
    <col min="8" max="8" width="8.44140625" style="2" hidden="1" customWidth="1"/>
    <col min="9" max="9" width="9.44140625" style="2" hidden="1" customWidth="1"/>
    <col min="10" max="10" width="7.77734375" style="15" bestFit="1" customWidth="1"/>
    <col min="11" max="11" width="50.88671875" style="2" customWidth="1"/>
    <col min="12" max="12" width="2.6640625" style="2" customWidth="1"/>
    <col min="13" max="13" width="7.88671875" style="2" bestFit="1" customWidth="1"/>
    <col min="14" max="16384" width="8.88671875" style="2"/>
  </cols>
  <sheetData>
    <row r="1" spans="1:13" x14ac:dyDescent="0.25">
      <c r="A1" s="2" t="s">
        <v>10</v>
      </c>
      <c r="B1" s="2" t="s">
        <v>75</v>
      </c>
      <c r="C1" s="2" t="s">
        <v>28</v>
      </c>
      <c r="D1" s="2" t="s">
        <v>96</v>
      </c>
      <c r="E1" s="2" t="s">
        <v>106</v>
      </c>
      <c r="F1" s="2" t="s">
        <v>97</v>
      </c>
      <c r="G1" s="2" t="s">
        <v>100</v>
      </c>
      <c r="H1" s="2" t="s">
        <v>103</v>
      </c>
      <c r="I1" s="2" t="s">
        <v>70</v>
      </c>
      <c r="J1" s="15" t="s">
        <v>105</v>
      </c>
      <c r="K1" s="2" t="s">
        <v>92</v>
      </c>
      <c r="M1" s="2" cm="1" vm="1">
        <f t="array" ref="M1">_xlfn._xlws.PY(0,0,Fund,Benchmark,Rfr)</f>
        <v>0</v>
      </c>
    </row>
    <row r="2" spans="1:13" x14ac:dyDescent="0.25">
      <c r="A2" s="23">
        <v>1</v>
      </c>
      <c r="B2" s="2" t="s">
        <v>83</v>
      </c>
      <c r="C2" s="2" t="s">
        <v>43</v>
      </c>
      <c r="D2" s="17">
        <f>FVSCHEDULE(1,Fund)-1</f>
        <v>1.2988460421583965</v>
      </c>
      <c r="E2" s="17" cm="1">
        <f t="array" ref="E2">CUMRET(Fund)</f>
        <v>1.2988460421583965</v>
      </c>
      <c r="F2" s="17" cm="1">
        <f t="array" ref="F2">_xlfn._xlws.PY(1,0)</f>
        <v>1.2988460421583965</v>
      </c>
      <c r="G2" s="17">
        <v>1.2988459999999999</v>
      </c>
      <c r="H2" s="17">
        <v>1.2988459999999999</v>
      </c>
      <c r="I2" s="3">
        <v>1.2988459999999999</v>
      </c>
      <c r="J2" s="15">
        <f>MAX(Table1[[#This Row],[Excel]:[Expected]])-MIN(Table1[[#This Row],[Excel]:[Expected]])</f>
        <v>4.2158396551528199E-8</v>
      </c>
    </row>
    <row r="3" spans="1:13" x14ac:dyDescent="0.25">
      <c r="A3" s="23">
        <v>2</v>
      </c>
      <c r="B3" s="2" t="s">
        <v>83</v>
      </c>
      <c r="C3" s="2" t="s">
        <v>89</v>
      </c>
      <c r="D3" s="17" cm="1">
        <f t="array" ref="D3">GEOMEAN(1+Fund)^12-1</f>
        <v>8.756388766775336E-2</v>
      </c>
      <c r="E3" s="17" cm="1">
        <f t="array" ref="E3">ANNRET(Fund)</f>
        <v>8.756388766775336E-2</v>
      </c>
      <c r="F3" s="17" cm="1">
        <f t="array" ref="F3">_xlfn._xlws.PY(2,0)</f>
        <v>8.7563887667752152E-2</v>
      </c>
      <c r="G3" s="17">
        <v>8.7564000000000003E-2</v>
      </c>
      <c r="H3" s="17">
        <v>8.7564000000000003E-2</v>
      </c>
      <c r="I3" s="18">
        <v>8.7564000000000003E-2</v>
      </c>
      <c r="J3" s="15">
        <f>MAX(Table1[[#This Row],[Excel]:[Expected]])-MIN(Table1[[#This Row],[Excel]:[Expected]])</f>
        <v>1.1233224785078821E-7</v>
      </c>
    </row>
    <row r="4" spans="1:13" x14ac:dyDescent="0.25">
      <c r="A4" s="23">
        <v>3</v>
      </c>
      <c r="B4" s="2" t="s">
        <v>83</v>
      </c>
      <c r="C4" s="2" t="s">
        <v>95</v>
      </c>
      <c r="D4" s="15">
        <f>100*(1+D2)</f>
        <v>229.88460421583966</v>
      </c>
      <c r="E4" s="15" cm="1">
        <f t="array" ref="E4">GROWTHOF(Fund,)</f>
        <v>229.88460421583966</v>
      </c>
      <c r="F4" s="15" cm="1">
        <f t="array" ref="F4">_xlfn._xlws.PY(3,0)</f>
        <v>229.88460421583966</v>
      </c>
      <c r="G4" s="15">
        <v>229.88460000000001</v>
      </c>
      <c r="H4" s="15">
        <v>229.88460000000001</v>
      </c>
      <c r="I4" s="15">
        <v>229.88460000000001</v>
      </c>
      <c r="J4" s="15">
        <f>MAX(Table1[[#This Row],[Excel]:[Expected]])-MIN(Table1[[#This Row],[Excel]:[Expected]])</f>
        <v>4.2158396524882846E-6</v>
      </c>
    </row>
    <row r="5" spans="1:13" x14ac:dyDescent="0.25">
      <c r="A5" s="23">
        <v>4</v>
      </c>
      <c r="B5" s="2" t="s">
        <v>83</v>
      </c>
      <c r="C5" s="2" t="s">
        <v>84</v>
      </c>
      <c r="D5" s="2">
        <f>COUNT(Fund)</f>
        <v>119</v>
      </c>
      <c r="E5" s="2" cm="1">
        <f t="array" ref="E5">PER(Fund)</f>
        <v>119</v>
      </c>
      <c r="F5" s="2" cm="1">
        <f t="array" ref="F5">_xlfn._xlws.PY(4,0)</f>
        <v>119</v>
      </c>
      <c r="G5" s="2">
        <v>119</v>
      </c>
      <c r="H5" s="2">
        <v>119</v>
      </c>
      <c r="I5" s="2">
        <v>119</v>
      </c>
      <c r="J5" s="15">
        <f>MAX(Table1[[#This Row],[Excel]:[Expected]])-MIN(Table1[[#This Row],[Excel]:[Expected]])</f>
        <v>0</v>
      </c>
    </row>
    <row r="6" spans="1:13" x14ac:dyDescent="0.25">
      <c r="A6" s="23">
        <v>5</v>
      </c>
      <c r="B6" s="2" t="s">
        <v>83</v>
      </c>
      <c r="C6" s="2" t="s">
        <v>55</v>
      </c>
      <c r="D6" s="16">
        <f>COUNTIF(Fund,"&gt;0")</f>
        <v>67</v>
      </c>
      <c r="E6" s="16" cm="1">
        <f t="array" ref="E6">PERPOS(Fund)</f>
        <v>67</v>
      </c>
      <c r="F6" s="16" cm="1">
        <f t="array" ref="F6">_xlfn._xlws.PY(5,0)</f>
        <v>67</v>
      </c>
      <c r="G6" s="16">
        <v>67</v>
      </c>
      <c r="H6" s="16">
        <v>67</v>
      </c>
      <c r="I6" s="2">
        <v>67</v>
      </c>
      <c r="J6" s="15">
        <f>MAX(Table1[[#This Row],[Excel]:[Expected]])-MIN(Table1[[#This Row],[Excel]:[Expected]])</f>
        <v>0</v>
      </c>
    </row>
    <row r="7" spans="1:13" x14ac:dyDescent="0.25">
      <c r="A7" s="23">
        <v>6</v>
      </c>
      <c r="B7" s="2" t="s">
        <v>83</v>
      </c>
      <c r="C7" s="2" t="s">
        <v>56</v>
      </c>
      <c r="D7" s="16">
        <f>COUNTIF(Fund,"&lt;0")</f>
        <v>52</v>
      </c>
      <c r="E7" s="16" cm="1">
        <f t="array" ref="E7">PERNEG(Fund)</f>
        <v>52</v>
      </c>
      <c r="F7" s="16" cm="1">
        <f t="array" ref="F7">_xlfn._xlws.PY(6,0)</f>
        <v>52</v>
      </c>
      <c r="G7" s="16">
        <v>52</v>
      </c>
      <c r="H7" s="16">
        <v>52</v>
      </c>
      <c r="I7" s="2">
        <v>52</v>
      </c>
      <c r="J7" s="15">
        <f>MAX(Table1[[#This Row],[Excel]:[Expected]])-MIN(Table1[[#This Row],[Excel]:[Expected]])</f>
        <v>0</v>
      </c>
    </row>
    <row r="8" spans="1:13" x14ac:dyDescent="0.25">
      <c r="A8" s="23">
        <v>7</v>
      </c>
      <c r="B8" s="2" t="s">
        <v>83</v>
      </c>
      <c r="C8" s="2" t="s">
        <v>31</v>
      </c>
      <c r="D8" s="3">
        <f>AVERAGE(Fund)</f>
        <v>1.2003655462184874E-2</v>
      </c>
      <c r="E8" s="3" cm="1">
        <f t="array" ref="E8">AVGRET(Fund)</f>
        <v>1.2003655462184874E-2</v>
      </c>
      <c r="F8" s="3" cm="1">
        <f t="array" ref="F8">_xlfn._xlws.PY(7,0)</f>
        <v>1.2003655462184874E-2</v>
      </c>
      <c r="G8" s="3">
        <v>1.2004000000000001E-2</v>
      </c>
      <c r="H8" s="3">
        <v>1.2E-2</v>
      </c>
      <c r="I8" s="3">
        <v>1.2E-2</v>
      </c>
      <c r="J8" s="15">
        <f>MAX(Table1[[#This Row],[Excel]:[Expected]])-MIN(Table1[[#This Row],[Excel]:[Expected]])</f>
        <v>4.0000000000005309E-6</v>
      </c>
    </row>
    <row r="9" spans="1:13" x14ac:dyDescent="0.25">
      <c r="A9" s="23">
        <v>8</v>
      </c>
      <c r="B9" s="2" t="s">
        <v>83</v>
      </c>
      <c r="C9" s="2" t="s">
        <v>33</v>
      </c>
      <c r="D9" s="1">
        <f>AVERAGEIF(Fund,"&gt;0")</f>
        <v>7.8778313432835825E-2</v>
      </c>
      <c r="E9" s="1" cm="1">
        <f t="array" ref="E9">AVGPOS(Fund)</f>
        <v>7.8778313432835825E-2</v>
      </c>
      <c r="F9" s="1" cm="1">
        <f t="array" ref="F9">_xlfn._xlws.PY(8,0)</f>
        <v>7.8778313432835811E-2</v>
      </c>
      <c r="G9" s="1">
        <v>7.8778000000000001E-2</v>
      </c>
      <c r="H9" s="1">
        <v>7.8799999999999995E-2</v>
      </c>
      <c r="I9" s="3">
        <v>7.8799999999999995E-2</v>
      </c>
      <c r="J9" s="15">
        <f>MAX(Table1[[#This Row],[Excel]:[Expected]])-MIN(Table1[[#This Row],[Excel]:[Expected]])</f>
        <v>2.1999999999994246E-5</v>
      </c>
    </row>
    <row r="10" spans="1:13" x14ac:dyDescent="0.25">
      <c r="A10" s="23">
        <v>9</v>
      </c>
      <c r="B10" s="2" t="s">
        <v>83</v>
      </c>
      <c r="C10" s="2" t="s">
        <v>32</v>
      </c>
      <c r="D10" s="1">
        <f>AVERAGEIF(Fund,"&lt;0")</f>
        <v>-7.4032923076923052E-2</v>
      </c>
      <c r="E10" s="1" cm="1">
        <f t="array" ref="E10">AVGNEG(Fund)</f>
        <v>-7.4032923076923052E-2</v>
      </c>
      <c r="F10" s="1" cm="1">
        <f t="array" ref="F10">_xlfn._xlws.PY(9,0)</f>
        <v>-7.4032923076923066E-2</v>
      </c>
      <c r="G10" s="1">
        <v>-7.4033000000000002E-2</v>
      </c>
      <c r="H10" s="1">
        <v>-7.3999999999999996E-2</v>
      </c>
      <c r="I10" s="3">
        <v>-7.3999999999999996E-2</v>
      </c>
      <c r="J10" s="15">
        <f>MAX(Table1[[#This Row],[Excel]:[Expected]])-MIN(Table1[[#This Row],[Excel]:[Expected]])</f>
        <v>3.3000000000005247E-5</v>
      </c>
    </row>
    <row r="11" spans="1:13" x14ac:dyDescent="0.25">
      <c r="A11" s="23">
        <v>10</v>
      </c>
      <c r="B11" s="2" t="s">
        <v>83</v>
      </c>
      <c r="C11" s="2" t="s">
        <v>35</v>
      </c>
      <c r="D11" s="1">
        <f>MAX(Fund)</f>
        <v>0.31514199999999998</v>
      </c>
      <c r="E11" s="1" cm="1">
        <f t="array" ref="E11">BESTPERIOD(Fund)</f>
        <v>0.31514199999999998</v>
      </c>
      <c r="F11" s="1" cm="1">
        <f t="array" ref="F11">_xlfn._xlws.PY(10,0)</f>
        <v>0.31514199999999998</v>
      </c>
      <c r="G11" s="1">
        <v>0.31514199999999998</v>
      </c>
      <c r="H11" s="1">
        <v>0.31509999999999999</v>
      </c>
      <c r="I11" s="3">
        <v>0.31509999999999999</v>
      </c>
      <c r="J11" s="15">
        <f>MAX(Table1[[#This Row],[Excel]:[Expected]])-MIN(Table1[[#This Row],[Excel]:[Expected]])</f>
        <v>4.1999999999986493E-5</v>
      </c>
    </row>
    <row r="12" spans="1:13" x14ac:dyDescent="0.25">
      <c r="A12" s="23">
        <v>11</v>
      </c>
      <c r="B12" s="2" t="s">
        <v>83</v>
      </c>
      <c r="C12" s="2" t="s">
        <v>69</v>
      </c>
      <c r="D12" s="1">
        <f>MIN(Fund)</f>
        <v>-0.287325</v>
      </c>
      <c r="E12" s="1" cm="1">
        <f t="array" ref="E12">WORSTPERIOD(Fund)</f>
        <v>-0.287325</v>
      </c>
      <c r="F12" s="1" cm="1">
        <f t="array" ref="F12">_xlfn._xlws.PY(11,0)</f>
        <v>-0.287325</v>
      </c>
      <c r="G12" s="1">
        <v>-0.287325</v>
      </c>
      <c r="H12" s="1">
        <v>-0.2873</v>
      </c>
      <c r="I12" s="3">
        <v>-0.2873</v>
      </c>
      <c r="J12" s="15">
        <f>MAX(Table1[[#This Row],[Excel]:[Expected]])-MIN(Table1[[#This Row],[Excel]:[Expected]])</f>
        <v>2.4999999999997247E-5</v>
      </c>
    </row>
    <row r="13" spans="1:13" x14ac:dyDescent="0.25">
      <c r="A13" s="23">
        <v>12</v>
      </c>
      <c r="B13" s="2" t="s">
        <v>83</v>
      </c>
      <c r="C13" s="2" t="s">
        <v>51</v>
      </c>
      <c r="D13" s="17" cm="1">
        <f t="array" ref="D13">MAX(_xlfn.SCAN(1,Fund,_xlfn.LAMBDA(_xlpm.x,_xlpm.y,IF(_xlpm.y&gt;0,_xlpm.x*(1+_xlpm.y),1))))-1</f>
        <v>1.0790137753582472</v>
      </c>
      <c r="E13" s="17" cm="1">
        <f t="array" ref="E13">MAXCONSECGAINRET(Fund)</f>
        <v>1.0790137753582472</v>
      </c>
      <c r="F13" s="17" cm="1">
        <f t="array" ref="F13">_xlfn._xlws.PY(12,0)</f>
        <v>1.0790137753582472</v>
      </c>
      <c r="G13" s="17">
        <v>1.0790139999999999</v>
      </c>
      <c r="H13" s="17"/>
      <c r="I13" s="18">
        <v>1.0790139999999999</v>
      </c>
      <c r="J13" s="15">
        <f>MAX(Table1[[#This Row],[Excel]:[Expected]])-MIN(Table1[[#This Row],[Excel]:[Expected]])</f>
        <v>2.2464175275516141E-7</v>
      </c>
    </row>
    <row r="14" spans="1:13" x14ac:dyDescent="0.25">
      <c r="A14" s="23">
        <v>13</v>
      </c>
      <c r="B14" s="2" t="s">
        <v>83</v>
      </c>
      <c r="C14" s="2" t="s">
        <v>50</v>
      </c>
      <c r="D14" s="17" cm="1">
        <f t="array" ref="D14">MIN(_xlfn.SCAN(1,Fund,_xlfn.LAMBDA(_xlpm.x,_xlpm.y,IF(_xlpm.y&lt;0,_xlpm.x*(1+_xlpm.y),1))))-1</f>
        <v>-0.66780593781962927</v>
      </c>
      <c r="E14" s="17" cm="1">
        <f t="array" ref="E14">MAXCONSECLOSSRET(Fund)</f>
        <v>-0.66780593781962927</v>
      </c>
      <c r="F14" s="17" cm="1">
        <f t="array" ref="F14">_xlfn._xlws.PY(13,0)</f>
        <v>-0.66780593781962927</v>
      </c>
      <c r="G14" s="17">
        <v>-0.66780600000000001</v>
      </c>
      <c r="H14" s="17"/>
      <c r="I14" s="1">
        <v>-0.66779999999999995</v>
      </c>
      <c r="J14" s="19">
        <f>MAX(Table1[[#This Row],[Excel]:[Expected]])-MIN(Table1[[#This Row],[Excel]:[Expected]])</f>
        <v>6.0000000000615117E-6</v>
      </c>
    </row>
    <row r="15" spans="1:13" x14ac:dyDescent="0.25">
      <c r="A15" s="23">
        <v>14</v>
      </c>
      <c r="B15" s="2" t="s">
        <v>83</v>
      </c>
      <c r="C15" s="2" t="s">
        <v>54</v>
      </c>
      <c r="D15" s="2" cm="1">
        <f t="array" ref="D15">MAX(_xlfn.SCAN(0,SIGN(Fund)&gt;0,_xlfn.LAMBDA(_xlpm.x,_xlpm.y,IF(_xlpm.y,_xlpm.x+_xlpm.y,0))))</f>
        <v>14</v>
      </c>
      <c r="E15" s="2" cm="1">
        <f t="array" ref="E15">MAXCONSECGAINPER(Fund)</f>
        <v>14</v>
      </c>
      <c r="F15" s="2" cm="1">
        <f t="array" ref="F15">_xlfn._xlws.PY(14,0)</f>
        <v>14</v>
      </c>
      <c r="G15" s="2">
        <v>14</v>
      </c>
      <c r="I15" s="2">
        <v>14</v>
      </c>
      <c r="J15" s="15">
        <f>MAX(Table1[[#This Row],[Excel]:[Expected]])-MIN(Table1[[#This Row],[Excel]:[Expected]])</f>
        <v>0</v>
      </c>
    </row>
    <row r="16" spans="1:13" x14ac:dyDescent="0.25">
      <c r="A16" s="23">
        <v>15</v>
      </c>
      <c r="B16" s="2" t="s">
        <v>83</v>
      </c>
      <c r="C16" s="2" t="s">
        <v>53</v>
      </c>
      <c r="D16" s="2" cm="1">
        <f t="array" ref="D16">MAX(_xlfn.SCAN(0,SIGN(Fund)&lt;0,_xlfn.LAMBDA(_xlpm.x,_xlpm.y,IF(_xlpm.y,_xlpm.x+_xlpm.y,0))))</f>
        <v>8</v>
      </c>
      <c r="E16" s="2" cm="1">
        <f t="array" ref="E16">MAXCONSECLOSSPER(Fund)</f>
        <v>8</v>
      </c>
      <c r="F16" s="2" cm="1">
        <f t="array" ref="F16">_xlfn._xlws.PY(15,0)</f>
        <v>8</v>
      </c>
      <c r="G16" s="2">
        <v>8</v>
      </c>
      <c r="I16" s="2">
        <v>8</v>
      </c>
      <c r="J16" s="15">
        <f>MAX(Table1[[#This Row],[Excel]:[Expected]])-MIN(Table1[[#This Row],[Excel]:[Expected]])</f>
        <v>0</v>
      </c>
    </row>
    <row r="17" spans="1:11" x14ac:dyDescent="0.25">
      <c r="A17" s="23">
        <v>16</v>
      </c>
      <c r="B17" s="2" t="s">
        <v>83</v>
      </c>
      <c r="C17" s="2" t="s">
        <v>42</v>
      </c>
      <c r="D17" s="18">
        <f>D2-FVSCHEDULE(1,Benchmark)+1</f>
        <v>-1.127277665623089</v>
      </c>
      <c r="E17" s="18"/>
      <c r="F17" s="18" cm="1">
        <f t="array" ref="F17">_xlfn._xlws.PY(16,0)</f>
        <v>-1.127277665623089</v>
      </c>
      <c r="G17" s="18">
        <v>-1.127278</v>
      </c>
      <c r="H17" s="18">
        <v>-1.127278</v>
      </c>
      <c r="I17" s="18">
        <v>-1.127278</v>
      </c>
      <c r="J17" s="15">
        <f>MAX(Table1[[#This Row],[Excel]:[Expected]])-MIN(Table1[[#This Row],[Excel]:[Expected]])</f>
        <v>3.3437691104865053E-7</v>
      </c>
    </row>
    <row r="18" spans="1:11" x14ac:dyDescent="0.25">
      <c r="A18" s="23">
        <v>17</v>
      </c>
      <c r="B18" s="2" t="s">
        <v>83</v>
      </c>
      <c r="C18" s="2" t="s">
        <v>113</v>
      </c>
      <c r="D18" s="18" cm="1">
        <f t="array" ref="D18">D3-GEOMEAN(1+Benchmark)^12+1</f>
        <v>-4.4653234573718725E-2</v>
      </c>
      <c r="E18" s="18"/>
      <c r="F18" s="18" cm="1">
        <f t="array" ref="F18">_xlfn._xlws.PY(17,0)</f>
        <v>-4.4653234573721765E-2</v>
      </c>
      <c r="G18" s="18">
        <v>-4.4652999999999998E-2</v>
      </c>
      <c r="H18" s="18">
        <v>-4.4652999999999998E-2</v>
      </c>
      <c r="I18" s="18">
        <v>-4.4652999999999998E-2</v>
      </c>
      <c r="J18" s="15">
        <f>MAX(Table1[[#This Row],[Excel]:[Expected]])-MIN(Table1[[#This Row],[Excel]:[Expected]])</f>
        <v>2.3457372176627356E-7</v>
      </c>
    </row>
    <row r="19" spans="1:11" x14ac:dyDescent="0.25">
      <c r="A19" s="23">
        <v>18</v>
      </c>
      <c r="B19" s="2" t="s">
        <v>83</v>
      </c>
      <c r="C19" s="2" t="s">
        <v>44</v>
      </c>
      <c r="D19" s="17" cm="1">
        <f t="array" ref="D19">GEOMEAN((1+Fund)/(1+Benchmark))^12-1</f>
        <v>-3.9438755779739987E-2</v>
      </c>
      <c r="E19" s="17"/>
      <c r="F19" s="17" cm="1">
        <f t="array" ref="F19">_xlfn._xlws.PY(18,0)</f>
        <v>-3.9438755779740188E-2</v>
      </c>
      <c r="G19" s="17">
        <v>-3.9439000000000002E-2</v>
      </c>
      <c r="H19" s="17">
        <v>-3.9439000000000002E-2</v>
      </c>
      <c r="I19" s="18">
        <v>-3.9439000000000002E-2</v>
      </c>
      <c r="J19" s="15">
        <f>MAX(Table1[[#This Row],[Excel]:[Expected]])-MIN(Table1[[#This Row],[Excel]:[Expected]])</f>
        <v>2.4422026001502672E-7</v>
      </c>
    </row>
    <row r="20" spans="1:11" x14ac:dyDescent="0.25">
      <c r="A20" s="23">
        <v>19</v>
      </c>
      <c r="B20" s="2" t="s">
        <v>83</v>
      </c>
      <c r="C20" s="2" t="s">
        <v>86</v>
      </c>
      <c r="D20" s="2" cm="1">
        <f t="array" ref="D20">SUM(N(Fund &gt; Benchmark))</f>
        <v>58</v>
      </c>
      <c r="F20" s="2" cm="1">
        <f t="array" ref="F20">_xlfn._xlws.PY(19,0)</f>
        <v>58</v>
      </c>
      <c r="G20" s="2">
        <v>58</v>
      </c>
      <c r="H20" s="2">
        <v>58</v>
      </c>
      <c r="I20" s="2">
        <v>58</v>
      </c>
      <c r="J20" s="15">
        <f>MAX(Table1[[#This Row],[Excel]:[Expected]])-MIN(Table1[[#This Row],[Excel]:[Expected]])</f>
        <v>0</v>
      </c>
    </row>
    <row r="21" spans="1:11" x14ac:dyDescent="0.25">
      <c r="A21" s="23">
        <v>20</v>
      </c>
      <c r="B21" s="2" t="s">
        <v>83</v>
      </c>
      <c r="C21" s="2" t="s">
        <v>85</v>
      </c>
      <c r="D21" s="17">
        <f>D20/D5</f>
        <v>0.48739495798319327</v>
      </c>
      <c r="E21" s="17"/>
      <c r="F21" s="17" cm="1">
        <f t="array" ref="F21">_xlfn._xlws.PY(20,0)</f>
        <v>0.48739495798319327</v>
      </c>
      <c r="G21" s="17">
        <v>0.48739500000000002</v>
      </c>
      <c r="H21" s="17">
        <v>0.48739500000000002</v>
      </c>
      <c r="I21" s="18">
        <v>0.48739500000000002</v>
      </c>
      <c r="J21" s="15">
        <f>MAX(Table1[[#This Row],[Excel]:[Expected]])-MIN(Table1[[#This Row],[Excel]:[Expected]])</f>
        <v>4.2016806756084435E-8</v>
      </c>
    </row>
    <row r="22" spans="1:11" x14ac:dyDescent="0.25">
      <c r="A22" s="23">
        <v>21</v>
      </c>
      <c r="B22" s="2" t="s">
        <v>83</v>
      </c>
      <c r="C22" s="2" t="s">
        <v>57</v>
      </c>
      <c r="D22" s="17">
        <f>D6/D5</f>
        <v>0.56302521008403361</v>
      </c>
      <c r="E22" s="17"/>
      <c r="F22" s="17" cm="1">
        <f t="array" ref="F22">_xlfn._xlws.PY(21,0)</f>
        <v>0.56302521008403361</v>
      </c>
      <c r="G22" s="17">
        <v>0.563025</v>
      </c>
      <c r="H22" s="17">
        <v>0.563025</v>
      </c>
      <c r="I22" s="18">
        <v>0.563025</v>
      </c>
      <c r="J22" s="15">
        <f>MAX(Table1[[#This Row],[Excel]:[Expected]])-MIN(Table1[[#This Row],[Excel]:[Expected]])</f>
        <v>2.1008403361388872E-7</v>
      </c>
      <c r="K22" s="2" t="s">
        <v>87</v>
      </c>
    </row>
    <row r="23" spans="1:11" x14ac:dyDescent="0.25">
      <c r="A23" s="23">
        <v>22</v>
      </c>
      <c r="B23" s="2" t="s">
        <v>77</v>
      </c>
      <c r="C23" s="2" t="s">
        <v>73</v>
      </c>
      <c r="D23" s="17">
        <f>_xlfn.STDEV.S(Fund)*SQRT(12)</f>
        <v>0.34856890436749127</v>
      </c>
      <c r="E23" s="17"/>
      <c r="F23" s="17" cm="1">
        <f t="array" ref="F23">_xlfn._xlws.PY(22,0)</f>
        <v>0.34856890436749127</v>
      </c>
      <c r="G23" s="17">
        <v>0.34856900000000002</v>
      </c>
      <c r="H23" s="17">
        <v>0.34856900000000002</v>
      </c>
      <c r="I23" s="18">
        <v>0.34856900000000002</v>
      </c>
      <c r="J23" s="15">
        <f>MAX(Table1[[#This Row],[Excel]:[Expected]])-MIN(Table1[[#This Row],[Excel]:[Expected]])</f>
        <v>9.5632508745335798E-8</v>
      </c>
    </row>
    <row r="24" spans="1:11" x14ac:dyDescent="0.25">
      <c r="A24" s="23">
        <v>23</v>
      </c>
      <c r="B24" s="2" t="s">
        <v>77</v>
      </c>
      <c r="C24" s="2" t="s">
        <v>74</v>
      </c>
      <c r="D24" s="17">
        <f>_xlfn.VAR.S(Fund)*12</f>
        <v>0.12150028109195329</v>
      </c>
      <c r="E24" s="17"/>
      <c r="F24" s="17" cm="1">
        <f t="array" ref="F24">_xlfn._xlws.PY(23,0)</f>
        <v>0.12150028109195328</v>
      </c>
      <c r="G24" s="17">
        <v>0.1215</v>
      </c>
      <c r="H24" s="17">
        <v>0.1215</v>
      </c>
      <c r="I24" s="17">
        <v>0.12150028</v>
      </c>
      <c r="J24" s="19">
        <f>MAX(Table1[[#This Row],[Excel]:[Expected]])-MIN(Table1[[#This Row],[Excel]:[Expected]])</f>
        <v>2.8109195329695247E-7</v>
      </c>
    </row>
    <row r="25" spans="1:11" x14ac:dyDescent="0.25">
      <c r="A25" s="23">
        <v>24</v>
      </c>
      <c r="B25" s="2" t="s">
        <v>77</v>
      </c>
      <c r="C25" s="2" t="s">
        <v>63</v>
      </c>
      <c r="D25" s="15">
        <f>SKEW(Fund)</f>
        <v>0.15403194982650587</v>
      </c>
      <c r="E25" s="15"/>
      <c r="F25" s="15" cm="1">
        <f t="array" ref="F25">_xlfn._xlws.PY(24,0)</f>
        <v>0.15403194982650592</v>
      </c>
      <c r="G25" s="15">
        <v>0.154</v>
      </c>
      <c r="H25" s="15">
        <v>0.154</v>
      </c>
      <c r="I25" s="15">
        <v>0.154</v>
      </c>
      <c r="J25" s="15">
        <f>MAX(Table1[[#This Row],[Excel]:[Expected]])-MIN(Table1[[#This Row],[Excel]:[Expected]])</f>
        <v>3.1949826505922596E-5</v>
      </c>
    </row>
    <row r="26" spans="1:11" x14ac:dyDescent="0.25">
      <c r="A26" s="23">
        <v>25</v>
      </c>
      <c r="B26" s="2" t="s">
        <v>77</v>
      </c>
      <c r="C26" s="2" t="s">
        <v>72</v>
      </c>
      <c r="D26" s="15">
        <f>KURT(Fund)</f>
        <v>0.57831497332206672</v>
      </c>
      <c r="E26" s="15"/>
      <c r="F26" s="15" cm="1">
        <f t="array" ref="F26">_xlfn._xlws.PY(25,0)</f>
        <v>0.57831497332206627</v>
      </c>
      <c r="G26" s="15">
        <v>0.57830000000000004</v>
      </c>
      <c r="H26" s="15">
        <v>0.57830000000000004</v>
      </c>
      <c r="I26" s="2">
        <v>0.57830000000000004</v>
      </c>
      <c r="J26" s="15">
        <f>MAX(Table1[[#This Row],[Excel]:[Expected]])-MIN(Table1[[#This Row],[Excel]:[Expected]])</f>
        <v>1.4973322066680339E-5</v>
      </c>
    </row>
    <row r="27" spans="1:11" x14ac:dyDescent="0.25">
      <c r="A27" s="23">
        <v>26</v>
      </c>
      <c r="B27" s="2" t="s">
        <v>77</v>
      </c>
      <c r="C27" s="2" t="s">
        <v>48</v>
      </c>
      <c r="D27" s="15">
        <f>COUNT(Fund)/6*(SKEW(Fund)^2+KURT(Fund)^2/4)</f>
        <v>2.128868224246371</v>
      </c>
      <c r="E27" s="15"/>
      <c r="F27" s="15" cm="1">
        <f t="array" ref="F27">_xlfn._xlws.PY(26,0)</f>
        <v>2.1288682242463688</v>
      </c>
      <c r="G27" s="15">
        <v>2.1288999999999998</v>
      </c>
      <c r="H27" s="15"/>
      <c r="I27" s="2">
        <v>2.1288999999999998</v>
      </c>
      <c r="J27" s="15">
        <f>MAX(Table1[[#This Row],[Excel]:[Expected]])-MIN(Table1[[#This Row],[Excel]:[Expected]])</f>
        <v>3.1775753631002601E-5</v>
      </c>
    </row>
    <row r="28" spans="1:11" x14ac:dyDescent="0.25">
      <c r="A28" s="23">
        <v>27</v>
      </c>
      <c r="B28" s="2" t="s">
        <v>77</v>
      </c>
      <c r="C28" s="2" t="s">
        <v>52</v>
      </c>
      <c r="D28" s="17">
        <f>MIN(Underwater(Fund))</f>
        <v>-0.77021503984271789</v>
      </c>
      <c r="E28" s="17"/>
      <c r="F28" s="17" cm="1">
        <f t="array" ref="F28">_xlfn._xlws.PY(27,0)</f>
        <v>-0.770215039842718</v>
      </c>
      <c r="G28" s="17">
        <v>-0.77021499999999998</v>
      </c>
      <c r="H28" s="17"/>
      <c r="I28" s="18">
        <v>-0.77021499999999998</v>
      </c>
      <c r="J28" s="15">
        <f>MAX(Table1[[#This Row],[Excel]:[Expected]])-MIN(Table1[[#This Row],[Excel]:[Expected]])</f>
        <v>3.9842718013716194E-8</v>
      </c>
      <c r="K28" s="2" t="s">
        <v>91</v>
      </c>
    </row>
    <row r="29" spans="1:11" x14ac:dyDescent="0.25">
      <c r="A29" s="23">
        <v>28</v>
      </c>
      <c r="B29" s="2" t="s">
        <v>77</v>
      </c>
      <c r="C29" s="2" t="s">
        <v>30</v>
      </c>
      <c r="D29" s="17" cm="1">
        <f t="array" ref="D29">_xlfn.LET(
  _xlpm.uw, Underwater(Fund),
  _xlpm.dd, _xlfn.SCAN(0,_xlpm.uw,_xlfn.LAMBDA(_xlpm.x,_xlpm.y,IF(_xlpm.y&lt;0,_xlpm.x,_xlpm.x+1))),
  _xlpm.ad, _xlfn.CHOOSECOLS(_xlfn.GROUPBY(_xlpm.dd,_xlpm.uw,_xleta.MIN,,0),2),
  AVERAGE(IF(_xlpm.ad&lt;0,_xlpm.ad))
)</f>
        <v>-0.16019142831056088</v>
      </c>
      <c r="E29" s="17"/>
      <c r="F29" s="17" cm="1">
        <f t="array" ref="F29">_xlfn._xlws.PY(28,0)</f>
        <v>-0.16019142831056082</v>
      </c>
      <c r="G29" s="17">
        <v>-0.160191</v>
      </c>
      <c r="H29" s="17"/>
      <c r="I29" s="18">
        <v>-0.160191</v>
      </c>
      <c r="J29" s="15">
        <f>MAX(Table1[[#This Row],[Excel]:[Expected]])-MIN(Table1[[#This Row],[Excel]:[Expected]])</f>
        <v>4.2831056087933028E-7</v>
      </c>
      <c r="K29" s="2" t="s">
        <v>91</v>
      </c>
    </row>
    <row r="30" spans="1:11" x14ac:dyDescent="0.25">
      <c r="A30" s="23">
        <v>29</v>
      </c>
      <c r="B30" s="2" t="s">
        <v>77</v>
      </c>
      <c r="C30" s="2" t="s">
        <v>82</v>
      </c>
      <c r="D30" s="17" cm="1">
        <f t="array" ref="D30">_xlfn.LET(
   _xlpm.uw, Underwater(Fund),
   INDEX(_xlpm.uw, COUNT(_xlpm.uw))
)</f>
        <v>-0.64971249303468903</v>
      </c>
      <c r="E30" s="17"/>
      <c r="F30" s="17" cm="1">
        <f t="array" ref="F30">_xlfn._xlws.PY(29,0)</f>
        <v>-0.64971249303468914</v>
      </c>
      <c r="G30" s="17">
        <v>-0.64971199999999996</v>
      </c>
      <c r="H30" s="17"/>
      <c r="I30" s="18">
        <v>-0.64971199999999996</v>
      </c>
      <c r="J30" s="15">
        <f>MAX(Table1[[#This Row],[Excel]:[Expected]])-MIN(Table1[[#This Row],[Excel]:[Expected]])</f>
        <v>4.9303468918626692E-7</v>
      </c>
      <c r="K30" s="2" t="s">
        <v>91</v>
      </c>
    </row>
    <row r="31" spans="1:11" x14ac:dyDescent="0.25">
      <c r="A31" s="23">
        <v>30</v>
      </c>
      <c r="B31" s="2" t="s">
        <v>77</v>
      </c>
      <c r="C31" s="2" t="s">
        <v>78</v>
      </c>
      <c r="D31" s="17" cm="1">
        <f t="array" ref="D31">_xlfn.LET(
   _xlpm.x, Fund - AVERAGE(Fund),
   SQRT(SUM(IF(_xlpm.x&lt;0, _xlpm.x^2)) / (SUM(N(_xlpm.x&lt;0))-1) * 12)
)</f>
        <v>0.33861758060593661</v>
      </c>
      <c r="E31" s="17"/>
      <c r="F31" s="17" cm="1">
        <f t="array" ref="F31">_xlfn._xlws.PY(30,0)</f>
        <v>0.33861758060593661</v>
      </c>
      <c r="G31" s="17">
        <v>0.33861799999999997</v>
      </c>
      <c r="H31" s="17">
        <v>0.33861799999999997</v>
      </c>
      <c r="I31" s="18">
        <v>0.33861799999999997</v>
      </c>
      <c r="J31" s="15">
        <f>MAX(Table1[[#This Row],[Excel]:[Expected]])-MIN(Table1[[#This Row],[Excel]:[Expected]])</f>
        <v>4.1939406336677365E-7</v>
      </c>
    </row>
    <row r="32" spans="1:11" x14ac:dyDescent="0.25">
      <c r="A32" s="23">
        <v>31</v>
      </c>
      <c r="B32" s="2" t="s">
        <v>77</v>
      </c>
      <c r="C32" s="2" t="s">
        <v>80</v>
      </c>
      <c r="D32" s="17" cm="1">
        <f t="array" ref="D32">_xlfn.LET(
   _xlpm.mar, 0,
   _xlpm.x, Fund - _xlpm.mar,
   SQRT(SUM(IF(_xlpm.x&gt;0, _xlpm.x^2)) / (COUNT(_xlpm.x)) * 12)
)</f>
        <v>0.27296578943372457</v>
      </c>
      <c r="E32" s="17"/>
      <c r="F32" s="17" cm="1">
        <f t="array" ref="F32">_xlfn._xlws.PY(31,0)</f>
        <v>0.27296578943372457</v>
      </c>
      <c r="G32" s="17">
        <v>0.27296599999999999</v>
      </c>
      <c r="H32" s="17"/>
      <c r="I32" s="18">
        <v>0.27296599999999999</v>
      </c>
      <c r="J32" s="15">
        <f>MAX(Table1[[#This Row],[Excel]:[Expected]])-MIN(Table1[[#This Row],[Excel]:[Expected]])</f>
        <v>2.1056627541593542E-7</v>
      </c>
      <c r="K32" s="2" t="s">
        <v>79</v>
      </c>
    </row>
    <row r="33" spans="1:11" x14ac:dyDescent="0.25">
      <c r="A33" s="23">
        <v>32</v>
      </c>
      <c r="B33" s="2" t="s">
        <v>77</v>
      </c>
      <c r="C33" s="2" t="s">
        <v>93</v>
      </c>
      <c r="D33" s="17" cm="1">
        <f t="array" ref="D33">_xlfn.LET(
   _xlpm.x, Fund - Rfr,
   SQRT(SUM(IF(_xlpm.x&lt;0, _xlpm.x^2)) / COUNT(_xlpm.x) * 12)
)</f>
        <v>0.22124339318231298</v>
      </c>
      <c r="E33" s="17"/>
      <c r="F33" s="17" cm="1">
        <f t="array" ref="F33">_xlfn._xlws.PY(32,0)</f>
        <v>0.22124339318231298</v>
      </c>
      <c r="G33" s="17">
        <v>0.221243</v>
      </c>
      <c r="H33" s="17">
        <v>0.221243</v>
      </c>
      <c r="I33" s="18">
        <v>0.221243</v>
      </c>
      <c r="J33" s="15">
        <f>MAX(Table1[[#This Row],[Excel]:[Expected]])-MIN(Table1[[#This Row],[Excel]:[Expected]])</f>
        <v>3.931823129854628E-7</v>
      </c>
      <c r="K33" s="2" t="s">
        <v>94</v>
      </c>
    </row>
    <row r="34" spans="1:11" x14ac:dyDescent="0.25">
      <c r="A34" s="23">
        <v>33</v>
      </c>
      <c r="B34" s="2" t="s">
        <v>77</v>
      </c>
      <c r="C34" s="2" t="s">
        <v>38</v>
      </c>
      <c r="D34" s="15" cm="1">
        <f t="array" ref="D34">_xlfn.LET(
   _xlpm.sd, _xlfn.STDEV.S(Fund),
   _xlpm.z, Fund / _xlpm.sd,
   SUM(IF(_xlpm.z&gt;=0,IF(_xlpm.z&lt;=1, 1))) / (SUM(IF(_xlpm.z&lt;0,IF(_xlpm.z&gt;=-1, 1))) + 1)
)</f>
        <v>1.1052631578947369</v>
      </c>
      <c r="E34" s="15"/>
      <c r="F34" s="15" cm="1">
        <f t="array" ref="F34">_xlfn._xlws.PY(33,0)</f>
        <v>1.1052631578947369</v>
      </c>
      <c r="G34" s="15">
        <v>1.1052999999999999</v>
      </c>
      <c r="H34" s="15"/>
      <c r="I34" s="2">
        <v>1.1052999999999999</v>
      </c>
      <c r="J34" s="15">
        <f>MAX(Table1[[#This Row],[Excel]:[Expected]])-MIN(Table1[[#This Row],[Excel]:[Expected]])</f>
        <v>3.6842105263001912E-5</v>
      </c>
    </row>
    <row r="35" spans="1:11" x14ac:dyDescent="0.25">
      <c r="A35" s="23">
        <v>34</v>
      </c>
      <c r="B35" s="2" t="s">
        <v>77</v>
      </c>
      <c r="C35" s="2" t="s">
        <v>45</v>
      </c>
      <c r="D35" s="15">
        <f>D9/-D10</f>
        <v>1.0640983789196345</v>
      </c>
      <c r="E35" s="15"/>
      <c r="F35" s="15" cm="1">
        <f t="array" ref="F35">_xlfn._xlws.PY(34,0)</f>
        <v>1.0640983789196341</v>
      </c>
      <c r="G35" s="15">
        <v>1.0641</v>
      </c>
      <c r="H35" s="15">
        <v>1.0641</v>
      </c>
      <c r="I35" s="2">
        <v>1.0641</v>
      </c>
      <c r="J35" s="15">
        <f>MAX(Table1[[#This Row],[Excel]:[Expected]])-MIN(Table1[[#This Row],[Excel]:[Expected]])</f>
        <v>1.6210803659433282E-6</v>
      </c>
    </row>
    <row r="36" spans="1:11" x14ac:dyDescent="0.25">
      <c r="A36" s="23">
        <v>35</v>
      </c>
      <c r="B36" s="2" t="s">
        <v>76</v>
      </c>
      <c r="C36" s="2" t="s">
        <v>36</v>
      </c>
      <c r="D36" s="15">
        <f>SLOPE(Fund,Benchmark)</f>
        <v>1.6525912709058328</v>
      </c>
      <c r="E36" s="15"/>
      <c r="F36" s="15" cm="1">
        <f t="array" ref="F36">_xlfn._xlws.PY(35,0)</f>
        <v>1.6525912709058326</v>
      </c>
      <c r="G36" s="15">
        <v>1.6526000000000001</v>
      </c>
      <c r="H36" s="15">
        <v>1.6526000000000001</v>
      </c>
      <c r="I36" s="2">
        <v>1.6526000000000001</v>
      </c>
      <c r="J36" s="15">
        <f>MAX(Table1[[#This Row],[Excel]:[Expected]])-MIN(Table1[[#This Row],[Excel]:[Expected]])</f>
        <v>8.7290941674922351E-6</v>
      </c>
    </row>
    <row r="37" spans="1:11" x14ac:dyDescent="0.25">
      <c r="A37" s="23">
        <v>36</v>
      </c>
      <c r="B37" s="2" t="s">
        <v>76</v>
      </c>
      <c r="C37" s="2" t="s">
        <v>37</v>
      </c>
      <c r="D37" s="15">
        <f>_xlfn.LET(
   _xlpm.regression, LINEST(Fund,Benchmark,,TRUE),
   INDEX(_xlpm.regression, 1, 1) / INDEX(_xlpm.regression, 2, 1)
)</f>
        <v>11.407781128358174</v>
      </c>
      <c r="E37" s="15"/>
      <c r="F37" s="15" cm="1">
        <f t="array" ref="F37">_xlfn._xlws.PY(36,0)</f>
        <v>11.407781128358184</v>
      </c>
      <c r="G37" s="15">
        <v>11.4078</v>
      </c>
      <c r="H37" s="15"/>
      <c r="I37" s="2">
        <v>11.4078</v>
      </c>
      <c r="J37" s="15">
        <f>MAX(Table1[[#This Row],[Excel]:[Expected]])-MIN(Table1[[#This Row],[Excel]:[Expected]])</f>
        <v>1.8871641826123664E-5</v>
      </c>
    </row>
    <row r="38" spans="1:11" x14ac:dyDescent="0.25">
      <c r="A38" s="23">
        <v>37</v>
      </c>
      <c r="B38" s="2" t="s">
        <v>76</v>
      </c>
      <c r="C38" s="2" t="s">
        <v>81</v>
      </c>
      <c r="D38" s="15" cm="1">
        <f t="array" ref="D38">SLOPE(Fund-Rfr,Benchmark-Rfr)</f>
        <v>1.654356531846279</v>
      </c>
      <c r="E38" s="15"/>
      <c r="F38" s="15" cm="1">
        <f t="array" ref="F38">_xlfn._xlws.PY(37,0)</f>
        <v>1.6543565318462765</v>
      </c>
      <c r="G38" s="15">
        <v>1.6544000000000001</v>
      </c>
      <c r="H38" s="15">
        <v>1.6544000000000001</v>
      </c>
      <c r="I38" s="2">
        <v>1.6544000000000001</v>
      </c>
      <c r="J38" s="15">
        <f>MAX(Table1[[#This Row],[Excel]:[Expected]])-MIN(Table1[[#This Row],[Excel]:[Expected]])</f>
        <v>4.3468153723580372E-5</v>
      </c>
    </row>
    <row r="39" spans="1:11" x14ac:dyDescent="0.25">
      <c r="A39" s="23">
        <v>38</v>
      </c>
      <c r="B39" s="2" t="s">
        <v>76</v>
      </c>
      <c r="C39" s="2" t="s">
        <v>71</v>
      </c>
      <c r="D39" s="17">
        <f>(1+INTERCEPT(Fund,Benchmark))^12-1</f>
        <v>-7.8514868837969765E-2</v>
      </c>
      <c r="E39" s="17"/>
      <c r="F39" s="17" cm="1">
        <f t="array" ref="F39">_xlfn._xlws.PY(38,0)</f>
        <v>-7.8514868837968432E-2</v>
      </c>
      <c r="G39" s="17">
        <v>-7.8515000000000001E-2</v>
      </c>
      <c r="H39" s="17">
        <v>-7.8515000000000001E-2</v>
      </c>
      <c r="I39" s="18">
        <v>-7.8515000000000001E-2</v>
      </c>
      <c r="J39" s="15">
        <f>MAX(Table1[[#This Row],[Excel]:[Expected]])-MIN(Table1[[#This Row],[Excel]:[Expected]])</f>
        <v>1.3116203156915418E-7</v>
      </c>
    </row>
    <row r="40" spans="1:11" x14ac:dyDescent="0.25">
      <c r="A40" s="23">
        <v>39</v>
      </c>
      <c r="B40" s="2" t="s">
        <v>76</v>
      </c>
      <c r="C40" s="2" t="s">
        <v>49</v>
      </c>
      <c r="D40" s="17">
        <f>_xlfn.LET(
   _xlpm.f, AVERAGE(Fund),
   _xlpm.m, AVERAGE(Benchmark),
   _xlpm.r, AVERAGE(Rfr),
   (1 + (_xlpm.f - _xlpm.r) - D36 * (_xlpm.m - _xlpm.r)) ^ 12 - 1
)</f>
        <v>-6.8351325331317936E-2</v>
      </c>
      <c r="E40" s="17"/>
      <c r="F40" s="17" cm="1">
        <f t="array" ref="F40">_xlfn._xlws.PY(39,0)</f>
        <v>-6.8351325331315826E-2</v>
      </c>
      <c r="G40" s="17">
        <v>-6.8350999999999995E-2</v>
      </c>
      <c r="H40" s="17"/>
      <c r="I40" s="18">
        <v>-6.8350999999999995E-2</v>
      </c>
      <c r="J40" s="15">
        <f>MAX(Table1[[#This Row],[Excel]:[Expected]])-MIN(Table1[[#This Row],[Excel]:[Expected]])</f>
        <v>3.2533131794076908E-7</v>
      </c>
    </row>
    <row r="41" spans="1:11" x14ac:dyDescent="0.25">
      <c r="A41" s="23">
        <v>40</v>
      </c>
      <c r="B41" s="2" t="s">
        <v>76</v>
      </c>
      <c r="C41" s="2" t="s">
        <v>41</v>
      </c>
      <c r="D41" s="15">
        <f>CORREL(Fund,Benchmark)</f>
        <v>0.72565782323392991</v>
      </c>
      <c r="E41" s="15"/>
      <c r="F41" s="15" cm="1">
        <f t="array" ref="F41">_xlfn._xlws.PY(40,0)</f>
        <v>0.7256578232339298</v>
      </c>
      <c r="G41" s="15">
        <v>0.72570000000000001</v>
      </c>
      <c r="H41" s="15">
        <v>0.72570000000000001</v>
      </c>
      <c r="I41" s="2">
        <v>0.72570000000000001</v>
      </c>
      <c r="J41" s="15">
        <f>MAX(Table1[[#This Row],[Excel]:[Expected]])-MIN(Table1[[#This Row],[Excel]:[Expected]])</f>
        <v>4.2176766070212146E-5</v>
      </c>
    </row>
    <row r="42" spans="1:11" x14ac:dyDescent="0.25">
      <c r="A42" s="23">
        <v>41</v>
      </c>
      <c r="B42" s="2" t="s">
        <v>76</v>
      </c>
      <c r="C42" s="2" t="s">
        <v>60</v>
      </c>
      <c r="D42" s="15">
        <f>D41^2</f>
        <v>0.52657927642060542</v>
      </c>
      <c r="E42" s="15"/>
      <c r="F42" s="15" cm="1">
        <f t="array" ref="F42">_xlfn._xlws.PY(41,0)</f>
        <v>0.52657927642060531</v>
      </c>
      <c r="G42" s="15">
        <v>0.52659999999999996</v>
      </c>
      <c r="H42" s="15">
        <v>0.52659999999999996</v>
      </c>
      <c r="I42" s="2">
        <v>0.52659999999999996</v>
      </c>
      <c r="J42" s="15">
        <f>MAX(Table1[[#This Row],[Excel]:[Expected]])-MIN(Table1[[#This Row],[Excel]:[Expected]])</f>
        <v>2.0723579394643643E-5</v>
      </c>
    </row>
    <row r="43" spans="1:11" x14ac:dyDescent="0.25">
      <c r="A43" s="23">
        <v>42</v>
      </c>
      <c r="B43" s="2" t="s">
        <v>76</v>
      </c>
      <c r="C43" s="2" t="s">
        <v>64</v>
      </c>
      <c r="D43" s="15">
        <f>INDEX(LINEST(Fund,Benchmark,,TRUE),3,2)</f>
        <v>6.952959881709328E-2</v>
      </c>
      <c r="E43" s="15"/>
      <c r="F43" s="15" cm="1">
        <f t="array" ref="F43">_xlfn._xlws.PY(42,0)</f>
        <v>6.9529598817093308E-2</v>
      </c>
      <c r="G43" s="15">
        <v>6.9500000000000006E-2</v>
      </c>
      <c r="H43" s="15"/>
      <c r="I43" s="2">
        <v>6.9500000000000006E-2</v>
      </c>
      <c r="J43" s="15">
        <f>MAX(Table1[[#This Row],[Excel]:[Expected]])-MIN(Table1[[#This Row],[Excel]:[Expected]])</f>
        <v>2.9598817093301477E-5</v>
      </c>
    </row>
    <row r="44" spans="1:11" x14ac:dyDescent="0.25">
      <c r="A44" s="23">
        <v>43</v>
      </c>
      <c r="B44" s="2" t="s">
        <v>76</v>
      </c>
      <c r="C44" s="2" t="s">
        <v>29</v>
      </c>
      <c r="D44" s="15">
        <f>_xlfn.LET(
  _xlpm.n, COUNT(Fund),
  CORREL(_xlfn.TAKE(Fund, _xlpm.n-1), _xlfn.TAKE(Fund, 1-_xlpm.n))
)</f>
        <v>6.7395069336288436E-3</v>
      </c>
      <c r="E44" s="15"/>
      <c r="F44" s="15" cm="1">
        <f t="array" ref="F44">_xlfn._xlws.PY(43,0)</f>
        <v>6.7395069336288653E-3</v>
      </c>
      <c r="G44" s="15">
        <v>6.7999999999999996E-3</v>
      </c>
      <c r="H44" s="15"/>
      <c r="I44" s="15">
        <v>6.7000000000000002E-3</v>
      </c>
      <c r="J44" s="15">
        <f>MAX(Table1[[#This Row],[Excel]:[Expected]])-MIN(Table1[[#This Row],[Excel]:[Expected]])</f>
        <v>9.9999999999999395E-5</v>
      </c>
    </row>
    <row r="45" spans="1:11" x14ac:dyDescent="0.25">
      <c r="A45" s="23">
        <v>44</v>
      </c>
      <c r="B45" s="2" t="s">
        <v>76</v>
      </c>
      <c r="C45" s="2" t="s">
        <v>107</v>
      </c>
      <c r="D45" s="20" cm="1">
        <f t="array" ref="D45">KendallTau({12;2;1;12;2},{1;4;7;1;0},)</f>
        <v>-0.47140452079103173</v>
      </c>
      <c r="E45" s="20"/>
      <c r="F45" s="20" cm="1">
        <f t="array" ref="F45">_xlfn._xlws.PY(44,0)</f>
        <v>-0.47140452079103162</v>
      </c>
      <c r="G45" s="20"/>
      <c r="H45" s="20"/>
      <c r="I45" s="2">
        <v>-0.47139999999999999</v>
      </c>
      <c r="J45" s="19">
        <f>MAX(Table1[[#This Row],[Excel]:[Expected]])-MIN(Table1[[#This Row],[Excel]:[Expected]])</f>
        <v>4.5207910317479616E-6</v>
      </c>
    </row>
    <row r="46" spans="1:11" x14ac:dyDescent="0.25">
      <c r="A46" s="23">
        <v>45</v>
      </c>
      <c r="B46" s="2" t="s">
        <v>76</v>
      </c>
      <c r="C46" s="2" t="s">
        <v>108</v>
      </c>
      <c r="D46" s="20" cm="1">
        <f t="array" ref="D46">KendallTau({12;2;1;12;2},{1;4;7;1;0},"C")</f>
        <v>-0.48</v>
      </c>
      <c r="E46" s="20"/>
      <c r="F46" s="20" cm="1">
        <f t="array" ref="F46">_xlfn._xlws.PY(45,0)</f>
        <v>-0.48</v>
      </c>
      <c r="G46" s="20"/>
      <c r="H46" s="20"/>
      <c r="I46" s="15">
        <v>-0.48</v>
      </c>
      <c r="J46" s="19">
        <f>MAX(Table1[[#This Row],[Excel]:[Expected]])-MIN(Table1[[#This Row],[Excel]:[Expected]])</f>
        <v>0</v>
      </c>
    </row>
    <row r="47" spans="1:11" x14ac:dyDescent="0.25">
      <c r="A47" s="23">
        <v>46</v>
      </c>
      <c r="B47" s="2" t="s">
        <v>88</v>
      </c>
      <c r="C47" s="2" t="s">
        <v>58</v>
      </c>
      <c r="D47" s="15" cm="1">
        <f t="array" ref="D47">(D3-GEOMEAN(1+Rfr)^12+1)/D23</f>
        <v>0.20296830430344315</v>
      </c>
      <c r="E47" s="15"/>
      <c r="F47" s="15" cm="1">
        <f t="array" ref="F47">_xlfn._xlws.PY(46,0)</f>
        <v>0.20296830430343993</v>
      </c>
      <c r="G47" s="15">
        <v>0.20300000000000001</v>
      </c>
      <c r="H47" s="15">
        <v>0.20300000000000001</v>
      </c>
      <c r="I47" s="15">
        <v>0.20300000000000001</v>
      </c>
      <c r="J47" s="15">
        <f>MAX(Table1[[#This Row],[Excel]:[Expected]])-MIN(Table1[[#This Row],[Excel]:[Expected]])</f>
        <v>3.169569656008564E-5</v>
      </c>
    </row>
    <row r="48" spans="1:11" x14ac:dyDescent="0.25">
      <c r="A48" s="23">
        <v>47</v>
      </c>
      <c r="B48" s="2" t="s">
        <v>88</v>
      </c>
      <c r="C48" s="2" t="s">
        <v>61</v>
      </c>
      <c r="D48" s="15">
        <f>D3/D23</f>
        <v>0.25120969360891698</v>
      </c>
      <c r="E48" s="15"/>
      <c r="F48" s="15" cm="1">
        <f t="array" ref="F48">_xlfn._xlws.PY(47,0)</f>
        <v>0.25120969360891349</v>
      </c>
      <c r="G48" s="15">
        <v>0.25119999999999998</v>
      </c>
      <c r="H48" s="15">
        <v>0.25119999999999998</v>
      </c>
      <c r="I48" s="2">
        <v>0.25119999999999998</v>
      </c>
      <c r="J48" s="15">
        <f>MAX(Table1[[#This Row],[Excel]:[Expected]])-MIN(Table1[[#This Row],[Excel]:[Expected]])</f>
        <v>9.6936089170052142E-6</v>
      </c>
    </row>
    <row r="49" spans="1:11" x14ac:dyDescent="0.25">
      <c r="A49" s="23">
        <v>48</v>
      </c>
      <c r="B49" s="2" t="s">
        <v>88</v>
      </c>
      <c r="C49" s="2" t="s">
        <v>66</v>
      </c>
      <c r="D49" s="17" cm="1">
        <f t="array" ref="D49">(D3-GEOMEAN(1+Rfr)^12+1)/D36</f>
        <v>4.2810609433752783E-2</v>
      </c>
      <c r="E49" s="17"/>
      <c r="F49" s="17" cm="1">
        <f t="array" ref="F49">_xlfn._xlws.PY(48,0)</f>
        <v>4.2810609433752103E-2</v>
      </c>
      <c r="G49" s="17">
        <v>4.2811000000000002E-2</v>
      </c>
      <c r="H49" s="17">
        <v>4.2811000000000002E-2</v>
      </c>
      <c r="I49" s="18">
        <v>4.2811000000000002E-2</v>
      </c>
      <c r="J49" s="15">
        <f>MAX(Table1[[#This Row],[Excel]:[Expected]])-MIN(Table1[[#This Row],[Excel]:[Expected]])</f>
        <v>3.9056624789868266E-7</v>
      </c>
    </row>
    <row r="50" spans="1:11" x14ac:dyDescent="0.25">
      <c r="A50" s="23">
        <v>49</v>
      </c>
      <c r="B50" s="2" t="s">
        <v>88</v>
      </c>
      <c r="C50" s="2" t="s">
        <v>9</v>
      </c>
      <c r="D50" s="15" cm="1">
        <f t="array" ref="D50">(D3-GEOMEAN(1+Rfr)^12+1)/D33</f>
        <v>0.3197765069263756</v>
      </c>
      <c r="E50" s="15"/>
      <c r="F50" s="15" cm="1">
        <f t="array" ref="F50">_xlfn._xlws.PY(49,0)</f>
        <v>0.3197765069263705</v>
      </c>
      <c r="G50" s="15">
        <v>0.31979999999999997</v>
      </c>
      <c r="H50" s="15">
        <v>0.31979999999999997</v>
      </c>
      <c r="I50" s="15">
        <v>0.31979999999999997</v>
      </c>
      <c r="J50" s="15">
        <f>MAX(Table1[[#This Row],[Excel]:[Expected]])-MIN(Table1[[#This Row],[Excel]:[Expected]])</f>
        <v>2.3493073629476946E-5</v>
      </c>
    </row>
    <row r="51" spans="1:11" x14ac:dyDescent="0.25">
      <c r="A51" s="23">
        <v>50</v>
      </c>
      <c r="B51" s="2" t="s">
        <v>88</v>
      </c>
      <c r="C51" s="2" t="s">
        <v>65</v>
      </c>
      <c r="D51" s="15">
        <f>D3/(-D29+0.1)</f>
        <v>0.33653640412488273</v>
      </c>
      <c r="E51" s="15"/>
      <c r="F51" s="15" cm="1">
        <f t="array" ref="F51">_xlfn._xlws.PY(50,0)</f>
        <v>0.33653640412487806</v>
      </c>
      <c r="G51" s="15">
        <v>0.33650000000000002</v>
      </c>
      <c r="H51" s="15"/>
      <c r="I51" s="2">
        <v>0.33650000000000002</v>
      </c>
      <c r="J51" s="15">
        <f>MAX(Table1[[#This Row],[Excel]:[Expected]])-MIN(Table1[[#This Row],[Excel]:[Expected]])</f>
        <v>3.6404124882705169E-5</v>
      </c>
      <c r="K51" s="2" t="s">
        <v>114</v>
      </c>
    </row>
    <row r="52" spans="1:11" x14ac:dyDescent="0.25">
      <c r="A52" s="23">
        <v>51</v>
      </c>
      <c r="B52" s="2" t="s">
        <v>88</v>
      </c>
      <c r="C52" s="2" t="s">
        <v>39</v>
      </c>
      <c r="D52" s="15">
        <f>D3/-D28</f>
        <v>0.11368758481479975</v>
      </c>
      <c r="E52" s="15"/>
      <c r="F52" s="15" cm="1">
        <f t="array" ref="F52">_xlfn._xlws.PY(51,0)</f>
        <v>0.11368758481479817</v>
      </c>
      <c r="G52" s="15">
        <v>0.1137</v>
      </c>
      <c r="H52" s="15"/>
      <c r="I52" s="2">
        <v>0.1137</v>
      </c>
      <c r="J52" s="15">
        <f>MAX(Table1[[#This Row],[Excel]:[Expected]])-MIN(Table1[[#This Row],[Excel]:[Expected]])</f>
        <v>1.2415185201827827E-5</v>
      </c>
    </row>
    <row r="53" spans="1:11" x14ac:dyDescent="0.25">
      <c r="A53" s="23">
        <v>52</v>
      </c>
      <c r="B53" s="2" t="s">
        <v>88</v>
      </c>
      <c r="C53" s="2" t="s">
        <v>67</v>
      </c>
      <c r="D53" s="17" cm="1">
        <f t="array" ref="D53">_xlfn.LET(
   _xlpm.up, Benchmark &gt; 0,
   _xlpm.n, SUM(N(_xlpm.up)),
   (FVSCHEDULE(1, IF(_xlpm.up, Fund, 0)) ^ (12/_xlpm.n) - 1)
)</f>
        <v>0.731121355803942</v>
      </c>
      <c r="E53" s="17"/>
      <c r="F53" s="17" cm="1">
        <f t="array" ref="F53">_xlfn._xlws.PY(52,0)</f>
        <v>0.731121355803942</v>
      </c>
      <c r="G53" s="17">
        <v>0.73112100000000002</v>
      </c>
      <c r="H53" s="17">
        <v>0.73112100000000002</v>
      </c>
      <c r="I53" s="18">
        <v>0.73112100000000002</v>
      </c>
      <c r="J53" s="15">
        <f>MAX(Table1[[#This Row],[Excel]:[Expected]])-MIN(Table1[[#This Row],[Excel]:[Expected]])</f>
        <v>3.5580394197598508E-7</v>
      </c>
    </row>
    <row r="54" spans="1:11" x14ac:dyDescent="0.25">
      <c r="A54" s="23">
        <v>53</v>
      </c>
      <c r="B54" s="2" t="s">
        <v>88</v>
      </c>
      <c r="C54" s="2" t="s">
        <v>101</v>
      </c>
      <c r="D54" s="17" cm="1">
        <f t="array" ref="D54">_xlfn.LET(
   _xlpm.down, Benchmark &lt; 0,
   _xlpm.n, SUM(N(_xlpm.down)),
   (FVSCHEDULE(1, IF(_xlpm.down, Fund, 0)) ^ (12/_xlpm.n) - 1)
)</f>
        <v>-0.6275860234174897</v>
      </c>
      <c r="E54" s="17"/>
      <c r="F54" s="17" cm="1">
        <f t="array" ref="F54">_xlfn._xlws.PY(53,0)</f>
        <v>-0.6275860234174897</v>
      </c>
      <c r="G54" s="17">
        <v>-0.62758599999999998</v>
      </c>
      <c r="H54" s="17">
        <v>-0.62758599999999998</v>
      </c>
      <c r="I54" s="18">
        <v>-0.62758599999999998</v>
      </c>
      <c r="J54" s="15">
        <f>MAX(Table1[[#This Row],[Excel]:[Expected]])-MIN(Table1[[#This Row],[Excel]:[Expected]])</f>
        <v>2.3417489725119367E-8</v>
      </c>
    </row>
    <row r="55" spans="1:11" x14ac:dyDescent="0.25">
      <c r="A55" s="23">
        <v>54</v>
      </c>
      <c r="B55" s="2" t="s">
        <v>88</v>
      </c>
      <c r="C55" s="2" t="s">
        <v>68</v>
      </c>
      <c r="D55" s="15" cm="1">
        <f t="array" ref="D55">_xlfn.LET(
   _xlpm.up, Benchmark &gt; 0,
   _xlpm.n, SUM(N(_xlpm.up)),
   (FVSCHEDULE(1, IF(_xlpm.up, Fund, 0)) ^ (12/_xlpm.n) - 1) /
   (FVSCHEDULE(1, IF(_xlpm.up, Benchmark, 0)) ^ (12/_xlpm.n) - 1) * 100
)</f>
        <v>150.16258007908607</v>
      </c>
      <c r="E55" s="15"/>
      <c r="F55" s="15" cm="1">
        <f t="array" ref="F55">_xlfn._xlws.PY(54,0)</f>
        <v>150.16258007908607</v>
      </c>
      <c r="G55" s="2">
        <v>150.1626</v>
      </c>
      <c r="H55" s="2">
        <v>150.1626</v>
      </c>
      <c r="I55" s="2">
        <v>150.1626</v>
      </c>
      <c r="J55" s="15">
        <f>MAX(Table1[[#This Row],[Excel]:[Expected]])-MIN(Table1[[#This Row],[Excel]:[Expected]])</f>
        <v>1.9920913928217487E-5</v>
      </c>
    </row>
    <row r="56" spans="1:11" x14ac:dyDescent="0.25">
      <c r="A56" s="23">
        <v>55</v>
      </c>
      <c r="B56" s="2" t="s">
        <v>88</v>
      </c>
      <c r="C56" s="2" t="s">
        <v>102</v>
      </c>
      <c r="D56" s="15" cm="1">
        <f t="array" ref="D56">_xlfn.LET(
   _xlpm.down, Benchmark &lt; 0,
   _xlpm.n, SUM(N(_xlpm.down)),
   (FVSCHEDULE(1, IF(_xlpm.down, Fund, 0)) ^ (12/_xlpm.n) - 1) /
   (FVSCHEDULE(1, IF(_xlpm.down, Benchmark, 0)) ^ (12/_xlpm.n) - 1) * 100
)</f>
        <v>158.50060736469806</v>
      </c>
      <c r="E56" s="15"/>
      <c r="F56" s="15" cm="1">
        <f t="array" ref="F56">_xlfn._xlws.PY(55,0)</f>
        <v>158.50060736469806</v>
      </c>
      <c r="G56" s="15">
        <v>158.50059999999999</v>
      </c>
      <c r="H56" s="15">
        <v>158.50059999999999</v>
      </c>
      <c r="I56" s="2">
        <v>158.50059999999999</v>
      </c>
      <c r="J56" s="15">
        <f>MAX(Table1[[#This Row],[Excel]:[Expected]])-MIN(Table1[[#This Row],[Excel]:[Expected]])</f>
        <v>7.3646980638386594E-6</v>
      </c>
    </row>
    <row r="57" spans="1:11" x14ac:dyDescent="0.25">
      <c r="A57" s="23">
        <v>56</v>
      </c>
      <c r="B57" s="2" t="s">
        <v>88</v>
      </c>
      <c r="C57" s="2" t="s">
        <v>59</v>
      </c>
      <c r="D57" s="17" cm="1">
        <f t="array" ref="D57">_xlfn.STDEV.S(Fund-Benchmark)*SQRT(12)</f>
        <v>0.2598029694965443</v>
      </c>
      <c r="E57" s="17"/>
      <c r="F57" s="17" cm="1">
        <f t="array" ref="F57">_xlfn._xlws.PY(56,0)</f>
        <v>0.2598029694965443</v>
      </c>
      <c r="G57" s="17">
        <v>0.25980300000000001</v>
      </c>
      <c r="H57" s="17">
        <v>0.25980300000000001</v>
      </c>
      <c r="I57" s="18">
        <v>0.25980300000000001</v>
      </c>
      <c r="J57" s="15">
        <f>MAX(Table1[[#This Row],[Excel]:[Expected]])-MIN(Table1[[#This Row],[Excel]:[Expected]])</f>
        <v>3.0503455705765958E-8</v>
      </c>
    </row>
    <row r="58" spans="1:11" x14ac:dyDescent="0.25">
      <c r="A58" s="23">
        <v>57</v>
      </c>
      <c r="B58" s="2" t="s">
        <v>88</v>
      </c>
      <c r="C58" s="2" t="s">
        <v>47</v>
      </c>
      <c r="D58" s="15" cm="1">
        <f t="array" ref="D58">(D3-GEOMEAN(1+Benchmark)^12+1)/D57</f>
        <v>-0.1718734572597434</v>
      </c>
      <c r="E58" s="15"/>
      <c r="F58" s="15" cm="1">
        <f t="array" ref="F58">_xlfn._xlws.PY(57,0)</f>
        <v>-0.17187345725975509</v>
      </c>
      <c r="G58" s="15">
        <v>-0.1719</v>
      </c>
      <c r="H58" s="15">
        <v>-0.1719</v>
      </c>
      <c r="I58" s="2">
        <v>-0.1719</v>
      </c>
      <c r="J58" s="15">
        <f>MAX(Table1[[#This Row],[Excel]:[Expected]])-MIN(Table1[[#This Row],[Excel]:[Expected]])</f>
        <v>2.6542740256596531E-5</v>
      </c>
    </row>
    <row r="59" spans="1:11" x14ac:dyDescent="0.25">
      <c r="A59" s="23">
        <v>58</v>
      </c>
      <c r="B59" s="2" t="s">
        <v>88</v>
      </c>
      <c r="C59" s="2" t="s">
        <v>34</v>
      </c>
      <c r="D59" s="15" cm="1">
        <f t="array" ref="D59">SUM(N(Fund&gt;Benchmark))/COUNT(Fund)</f>
        <v>0.48739495798319327</v>
      </c>
      <c r="E59" s="15"/>
      <c r="F59" s="15" cm="1">
        <f t="array" ref="F59">_xlfn._xlws.PY(58,0)</f>
        <v>0.48739495798319327</v>
      </c>
      <c r="G59" s="15">
        <v>0.4874</v>
      </c>
      <c r="H59" s="15">
        <v>0.4874</v>
      </c>
      <c r="I59" s="2">
        <v>0.4874</v>
      </c>
      <c r="J59" s="15">
        <f>MAX(Table1[[#This Row],[Excel]:[Expected]])-MIN(Table1[[#This Row],[Excel]:[Expected]])</f>
        <v>5.0420168067333293E-6</v>
      </c>
    </row>
    <row r="60" spans="1:11" x14ac:dyDescent="0.25">
      <c r="A60" s="23">
        <v>59</v>
      </c>
      <c r="B60" s="2" t="s">
        <v>88</v>
      </c>
      <c r="C60" s="2" t="s">
        <v>112</v>
      </c>
      <c r="D60" s="17" cm="1">
        <f t="array" ref="D60">SUM(IF(Fund&gt;Benchmark,IF(Benchmark&gt;0,1)))/SUM(N(Benchmark&gt;0))</f>
        <v>0.5662650602409639</v>
      </c>
      <c r="E60" s="17"/>
      <c r="F60" s="17" cm="1">
        <f t="array" ref="F60">_xlfn._xlws.PY(59,0)</f>
        <v>0.5662650602409639</v>
      </c>
      <c r="G60" s="17">
        <v>0.56626500000000002</v>
      </c>
      <c r="H60" s="17">
        <v>0.56626500000000002</v>
      </c>
      <c r="I60" s="18">
        <v>0.56626500000000002</v>
      </c>
      <c r="J60" s="15">
        <f>MAX(Table1[[#This Row],[Excel]:[Expected]])-MIN(Table1[[#This Row],[Excel]:[Expected]])</f>
        <v>6.0240963883906318E-8</v>
      </c>
      <c r="K60" s="2" t="s">
        <v>111</v>
      </c>
    </row>
    <row r="61" spans="1:11" x14ac:dyDescent="0.25">
      <c r="A61" s="23">
        <v>60</v>
      </c>
      <c r="B61" s="2" t="s">
        <v>88</v>
      </c>
      <c r="C61" s="2" t="s">
        <v>110</v>
      </c>
      <c r="D61" s="17" cm="1">
        <f t="array" ref="D61">SUM(IF(Fund&gt;Benchmark,IF(Benchmark&lt;0,1)))/SUM(N(Benchmark&lt;0))</f>
        <v>0.30555555555555558</v>
      </c>
      <c r="E61" s="17"/>
      <c r="F61" s="17" cm="1">
        <f t="array" ref="F61">_xlfn._xlws.PY(60,0)</f>
        <v>0.30555555555555558</v>
      </c>
      <c r="G61" s="17">
        <v>0.30555599999999999</v>
      </c>
      <c r="H61" s="17">
        <v>0.30555599999999999</v>
      </c>
      <c r="I61" s="18">
        <v>0.30555599999999999</v>
      </c>
      <c r="J61" s="15">
        <f>MAX(Table1[[#This Row],[Excel]:[Expected]])-MIN(Table1[[#This Row],[Excel]:[Expected]])</f>
        <v>4.444444444140494E-7</v>
      </c>
      <c r="K61" s="2" t="s">
        <v>109</v>
      </c>
    </row>
    <row r="62" spans="1:11" x14ac:dyDescent="0.25">
      <c r="A62" s="23">
        <v>61</v>
      </c>
      <c r="B62" s="2" t="s">
        <v>88</v>
      </c>
      <c r="C62" s="2" t="s">
        <v>62</v>
      </c>
      <c r="D62" s="15" cm="1">
        <f t="array" ref="D62">_xlfn.LET(
   _xlpm.n, 36,
   _xlpm.f, Rolling(Fund,_xlpm.n,_xlfn.LAMBDA(_xlpm.x, FVSCHEDULE(1,_xlpm.x)-1)),
   _xlpm.m, Rolling(Benchmark,_xlpm.n,_xlfn.LAMBDA(_xlpm.x, FVSCHEDULE(1,_xlpm.x)-1)),
   SUM(IFERROR(N(_xlpm.f&gt;_xlpm.m),0)) / COUNT(_xlpm.f)
)</f>
        <v>0.6071428571428571</v>
      </c>
      <c r="E62" s="15"/>
      <c r="F62" s="15" cm="1">
        <f t="array" ref="F62">_xlfn._xlws.PY(61,0)</f>
        <v>0.6071428571428571</v>
      </c>
      <c r="G62" s="15">
        <v>0.60709999999999997</v>
      </c>
      <c r="H62" s="15"/>
      <c r="I62" s="15">
        <v>0.60709999999999997</v>
      </c>
      <c r="J62" s="15">
        <f>MAX(Table1[[#This Row],[Excel]:[Expected]])-MIN(Table1[[#This Row],[Excel]:[Expected]])</f>
        <v>4.2857142857122277E-5</v>
      </c>
    </row>
    <row r="63" spans="1:11" x14ac:dyDescent="0.25">
      <c r="A63" s="23">
        <v>62</v>
      </c>
      <c r="B63" s="2" t="s">
        <v>90</v>
      </c>
      <c r="C63" s="2" t="s">
        <v>115</v>
      </c>
      <c r="D63" s="17">
        <f>_xlfn.PERCENTILE.INC(Fund,0.05)</f>
        <v>-0.13292760000000001</v>
      </c>
      <c r="F63" s="18" cm="1">
        <f t="array" ref="F63">_xlfn._xlws.PY(62,0)</f>
        <v>-0.13292759999999998</v>
      </c>
      <c r="J63" s="19">
        <f>MAX(Table1[[#This Row],[Excel]:[Expected]])-MIN(Table1[[#This Row],[Excel]:[Expected]])</f>
        <v>0</v>
      </c>
    </row>
    <row r="64" spans="1:11" x14ac:dyDescent="0.25">
      <c r="A64" s="23">
        <v>63</v>
      </c>
      <c r="B64" s="2" t="s">
        <v>90</v>
      </c>
      <c r="C64" s="2" t="s">
        <v>116</v>
      </c>
      <c r="D64" s="17">
        <f>AVERAGEIF(Fund,"&lt;"&amp;_xlfn.PERCENTILE.INC(Fund,0.05))</f>
        <v>-0.18908916666666667</v>
      </c>
      <c r="F64" s="17" cm="1">
        <f t="array" ref="F64">_xlfn._xlws.PY(63,0)</f>
        <v>-0.18908916666666667</v>
      </c>
      <c r="J64" s="19">
        <f>MAX(Table1[[#This Row],[Excel]:[Expected]])-MIN(Table1[[#This Row],[Excel]:[Expected]])</f>
        <v>0</v>
      </c>
    </row>
    <row r="65" spans="1:11" x14ac:dyDescent="0.25">
      <c r="A65" s="23">
        <v>64</v>
      </c>
      <c r="B65" s="2" t="s">
        <v>90</v>
      </c>
      <c r="C65" s="2" t="s">
        <v>46</v>
      </c>
      <c r="D65" s="18">
        <f>AVERAGE(Fund)-_xlfn.NORM.S.INV(1-0.05)*_xlfn.STDEV.S(Fund)</f>
        <v>-0.15350673952331814</v>
      </c>
      <c r="E65" s="18"/>
      <c r="F65" s="18" cm="1">
        <f t="array" ref="F65">_xlfn._xlws.PY(64,0)</f>
        <v>-0.15350673952331817</v>
      </c>
      <c r="G65" s="18">
        <v>-0.153507</v>
      </c>
      <c r="H65" s="18"/>
      <c r="I65" s="18">
        <v>-0.153506</v>
      </c>
      <c r="J65" s="15">
        <f>MAX(Table1[[#This Row],[Excel]:[Expected]])-MIN(Table1[[#This Row],[Excel]:[Expected]])</f>
        <v>1.0000000000010001E-6</v>
      </c>
      <c r="K65" s="2" t="s">
        <v>104</v>
      </c>
    </row>
    <row r="66" spans="1:11" x14ac:dyDescent="0.25">
      <c r="A66" s="23">
        <v>65</v>
      </c>
      <c r="B66" s="2" t="s">
        <v>90</v>
      </c>
      <c r="C66" s="2" t="s">
        <v>118</v>
      </c>
      <c r="D66" s="17">
        <f>AVERAGE(Fund)-_xlfn.STDEV.S(Fund)*_xlfn.NORM.S.DIST(_xlfn.NORM.S.INV(1-0.05),FALSE)/0.05</f>
        <v>-0.19555305713415305</v>
      </c>
      <c r="E66" s="18"/>
      <c r="F66" s="18" cm="1">
        <f t="array" ref="F66">_xlfn._xlws.PY(65,0)</f>
        <v>-0.19555305713415261</v>
      </c>
      <c r="G66" s="18"/>
      <c r="H66" s="18"/>
      <c r="I66" s="18"/>
      <c r="J66" s="19">
        <f>MAX(Table1[[#This Row],[Excel]:[Expected]])-MIN(Table1[[#This Row],[Excel]:[Expected]])</f>
        <v>4.4408920985006262E-16</v>
      </c>
      <c r="K66" s="2" t="s">
        <v>120</v>
      </c>
    </row>
    <row r="67" spans="1:11" x14ac:dyDescent="0.25">
      <c r="A67" s="23">
        <v>66</v>
      </c>
      <c r="B67" s="2" t="s">
        <v>90</v>
      </c>
      <c r="C67" s="2" t="s">
        <v>40</v>
      </c>
      <c r="D67" s="17">
        <f>_xlfn.LET(
   _xlpm.y, Fund,
   _xlpm.z, -_xlfn.NORM.S.INV(0.95),
   AVERAGE(_xlpm.y)+(_xlpm.z + SKEW(_xlpm.y)*(_xlpm.z^2-1)/6+KURT(_xlpm.y)*(_xlpm.z^3-3*_xlpm.z)/24-SKEW(_xlpm.y)^2*(2*_xlpm.z^3-5*_xlpm.z)/36)*STDEV(_xlpm.y)
)</f>
        <v>-0.14788178720027673</v>
      </c>
      <c r="E67" s="17"/>
      <c r="F67" s="17" cm="1">
        <f t="array" ref="F67">_xlfn._xlws.PY(66,0)</f>
        <v>-0.14788178720027675</v>
      </c>
      <c r="G67" s="17">
        <v>-0.14788200000000001</v>
      </c>
      <c r="H67" s="17"/>
      <c r="I67" s="18">
        <v>-0.14788200000000001</v>
      </c>
      <c r="J67" s="15">
        <f>MAX(Table1[[#This Row],[Excel]:[Expected]])-MIN(Table1[[#This Row],[Excel]:[Expected]])</f>
        <v>2.1279972328702712E-7</v>
      </c>
    </row>
    <row r="68" spans="1:11" x14ac:dyDescent="0.25">
      <c r="A68" s="23" t="s">
        <v>117</v>
      </c>
      <c r="B68" s="2" t="s">
        <v>90</v>
      </c>
      <c r="D68" s="17">
        <f>AVERAGEIF(Fund,"&lt;="&amp;D65)</f>
        <v>-0.19925480000000001</v>
      </c>
      <c r="E68" s="17"/>
      <c r="F68" s="17" cm="1">
        <f t="array" ref="F68">_xlfn._xlws.PY(67,0)</f>
        <v>-0.19925480000000001</v>
      </c>
      <c r="G68" s="17">
        <v>-0.19925499999999999</v>
      </c>
      <c r="H68" s="17"/>
      <c r="I68" s="18">
        <v>-0.19925499999999999</v>
      </c>
      <c r="J68" s="15">
        <f>MAX(Table1[[#This Row],[Excel]:[Expected]])-MIN(Table1[[#This Row],[Excel]:[Expected]])</f>
        <v>1.9999999997799556E-7</v>
      </c>
      <c r="K68" s="2" t="s">
        <v>119</v>
      </c>
    </row>
  </sheetData>
  <conditionalFormatting sqref="J2:J68">
    <cfRule type="iconSet" priority="10">
      <iconSet iconSet="3Symbols" reverse="1">
        <cfvo type="percent" val="0"/>
        <cfvo type="num" val="1E-4"/>
        <cfvo type="num" val="1E-3"/>
      </iconSet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AF5194B4-C9F1-4B8F-BBDD-4D2D8B510EBF}">
  <ds:schemaRefs/>
</ds:datastoreItem>
</file>

<file path=customXml/itemProps2.xml><?xml version="1.0" encoding="utf-8"?>
<ds:datastoreItem xmlns:ds="http://schemas.openxmlformats.org/officeDocument/2006/customXml" ds:itemID="{6AE51B09-FDE6-444E-BBFD-2BDD4A6B2E9B}">
  <ds:schemaRefs/>
</ds:datastoreItem>
</file>

<file path=customXml/itemProps3.xml><?xml version="1.0" encoding="utf-8"?>
<ds:datastoreItem xmlns:ds="http://schemas.openxmlformats.org/officeDocument/2006/customXml" ds:itemID="{363E39E5-8756-422C-BA6C-45A1F78A7378}">
  <ds:schemaRefs/>
</ds:datastoreItem>
</file>

<file path=customXml/itemProps4.xml><?xml version="1.0" encoding="utf-8"?>
<ds:datastoreItem xmlns:ds="http://schemas.openxmlformats.org/officeDocument/2006/customXml" ds:itemID="{B693C2A1-066A-42F1-A7B1-8A46563AE3E2}">
  <ds:schemaRefs/>
</ds:datastoreItem>
</file>

<file path=customXml/itemProps5.xml><?xml version="1.0" encoding="utf-8"?>
<ds:datastoreItem xmlns:ds="http://schemas.openxmlformats.org/officeDocument/2006/customXml" ds:itemID="{E7D3E5D7-FFAE-4D9E-8C45-31A81C0186B3}">
  <ds:schemaRefs/>
</ds:datastoreItem>
</file>

<file path=customXml/itemProps6.xml><?xml version="1.0" encoding="utf-8"?>
<ds:datastoreItem xmlns:ds="http://schemas.openxmlformats.org/officeDocument/2006/customXml" ds:itemID="{7D588D0E-6B13-4736-AEBC-7057D47D3CB5}">
  <ds:schemaRefs/>
</ds:datastoreItem>
</file>

<file path=customXml/itemProps7.xml><?xml version="1.0" encoding="utf-8"?>
<ds:datastoreItem xmlns:ds="http://schemas.openxmlformats.org/officeDocument/2006/customXml" ds:itemID="{22FFE149-4A23-47DB-A177-618DAFD25093}">
  <ds:schemaRefs/>
</ds:datastoreItem>
</file>

<file path=customXml/itemProps8.xml><?xml version="1.0" encoding="utf-8"?>
<ds:datastoreItem xmlns:ds="http://schemas.openxmlformats.org/officeDocument/2006/customXml" ds:itemID="{F0C8C45B-5467-45FA-AAFD-82A4C40B12D3}">
  <ds:schemaRefs/>
</ds:datastoreItem>
</file>

<file path=customXml/itemProps9.xml><?xml version="1.0" encoding="utf-8"?>
<ds:datastoreItem xmlns:ds="http://schemas.openxmlformats.org/officeDocument/2006/customXml" ds:itemID="{41CC2254-8594-494A-9DDA-C89C04EB56D5}">
  <ds:schemaRefs/>
</ds:datastoreItem>
</file>

<file path=customXml/itemProps10.xml><?xml version="1.0" encoding="utf-8"?>
<ds:datastoreItem xmlns:ds="http://schemas.openxmlformats.org/officeDocument/2006/customXml" ds:itemID="{C72B95C6-AF4C-472A-8D0D-4CEE9C72B422}">
  <ds:schemaRefs/>
</ds:datastoreItem>
</file>

<file path=customXml/itemProps11.xml><?xml version="1.0" encoding="utf-8"?>
<ds:datastoreItem xmlns:ds="http://schemas.openxmlformats.org/officeDocument/2006/customXml" ds:itemID="{8D5AF2F2-4814-411E-9B8D-A9760D9D70B7}">
  <ds:schemaRefs/>
</ds:datastoreItem>
</file>

<file path=customXml/itemProps12.xml><?xml version="1.0" encoding="utf-8"?>
<ds:datastoreItem xmlns:ds="http://schemas.openxmlformats.org/officeDocument/2006/customXml" ds:itemID="{6408D763-89C2-4A7F-83E4-C7F0CC55AD20}">
  <ds:schemaRefs/>
</ds:datastoreItem>
</file>

<file path=customXml/itemProps13.xml><?xml version="1.0" encoding="utf-8"?>
<ds:datastoreItem xmlns:ds="http://schemas.openxmlformats.org/officeDocument/2006/customXml" ds:itemID="{610311A1-C080-4C61-843D-3F9430855348}">
  <ds:schemaRefs/>
</ds:datastoreItem>
</file>

<file path=customXml/itemProps14.xml><?xml version="1.0" encoding="utf-8"?>
<ds:datastoreItem xmlns:ds="http://schemas.openxmlformats.org/officeDocument/2006/customXml" ds:itemID="{59DC72B4-0BA6-4BD9-8E02-F43ABE0E1132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5EDE92DC-C798-4ADD-B75F-65D8CE132ECB}">
  <ds:schemaRefs/>
</ds:datastoreItem>
</file>

<file path=customXml/itemProps16.xml><?xml version="1.0" encoding="utf-8"?>
<ds:datastoreItem xmlns:ds="http://schemas.openxmlformats.org/officeDocument/2006/customXml" ds:itemID="{4CCAE433-3CC3-439D-81C1-78E6C5BAD7F7}">
  <ds:schemaRefs/>
</ds:datastoreItem>
</file>

<file path=customXml/itemProps17.xml><?xml version="1.0" encoding="utf-8"?>
<ds:datastoreItem xmlns:ds="http://schemas.openxmlformats.org/officeDocument/2006/customXml" ds:itemID="{A73C85F7-941F-44DF-9415-876AA20FC6DA}">
  <ds:schemaRefs/>
</ds:datastoreItem>
</file>

<file path=customXml/itemProps18.xml><?xml version="1.0" encoding="utf-8"?>
<ds:datastoreItem xmlns:ds="http://schemas.openxmlformats.org/officeDocument/2006/customXml" ds:itemID="{761731AB-A141-4D84-BDCB-1EC22A85F9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Formulas</vt:lpstr>
      <vt:lpstr>Data</vt:lpstr>
      <vt:lpstr>Test</vt:lpstr>
      <vt:lpstr>Benchmark</vt:lpstr>
      <vt:lpstr>Fund</vt:lpstr>
      <vt:lpstr>Rfr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Cheung Cheng</dc:creator>
  <cp:lastModifiedBy>Kai Cheung Cheng</cp:lastModifiedBy>
  <dcterms:created xsi:type="dcterms:W3CDTF">2015-06-05T18:17:20Z</dcterms:created>
  <dcterms:modified xsi:type="dcterms:W3CDTF">2026-02-13T16:55:15Z</dcterms:modified>
</cp:coreProperties>
</file>